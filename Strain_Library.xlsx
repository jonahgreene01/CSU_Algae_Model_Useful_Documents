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CSU_Open_Source_Algae_Model\Useful_Documents\"/>
    </mc:Choice>
  </mc:AlternateContent>
  <bookViews>
    <workbookView xWindow="0" yWindow="0" windowWidth="51600" windowHeight="17700" activeTab="5"/>
  </bookViews>
  <sheets>
    <sheet name="Summary" sheetId="7" r:id="rId1"/>
    <sheet name="Chlorella vulgaris" sheetId="1" r:id="rId2"/>
    <sheet name="Nannochloropsis oceanica" sheetId="5" r:id="rId3"/>
    <sheet name="Desmodesmus intermedius" sheetId="6" r:id="rId4"/>
    <sheet name="Galdieria sulphuraria 5587.1" sheetId="8" r:id="rId5"/>
    <sheet name="Galdieria sulphuraria Soos" sheetId="9"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7" l="1"/>
  <c r="G10" i="7"/>
  <c r="F11" i="7"/>
  <c r="F10" i="7"/>
  <c r="E11" i="7"/>
  <c r="E10" i="7"/>
  <c r="D11" i="7"/>
  <c r="D10" i="7"/>
  <c r="C11" i="7"/>
  <c r="C10" i="7"/>
  <c r="B11" i="7"/>
  <c r="B10" i="7"/>
  <c r="G9" i="7"/>
  <c r="F9" i="7"/>
  <c r="E9" i="7"/>
  <c r="D9" i="7"/>
  <c r="C9" i="7"/>
  <c r="B9" i="7"/>
  <c r="G8" i="7"/>
  <c r="F8" i="7"/>
  <c r="E8" i="7"/>
  <c r="D8" i="7"/>
  <c r="C8" i="7"/>
  <c r="B8" i="7"/>
  <c r="C4" i="9" l="1"/>
  <c r="C14" i="9"/>
  <c r="C5" i="9"/>
  <c r="C3" i="9"/>
  <c r="C14" i="8"/>
  <c r="C5" i="8"/>
  <c r="C3" i="8"/>
  <c r="G7" i="7"/>
  <c r="F7" i="7"/>
  <c r="E7" i="7"/>
  <c r="D7" i="7"/>
  <c r="C7" i="7"/>
  <c r="B7" i="7"/>
  <c r="G6" i="7"/>
  <c r="F6" i="7"/>
  <c r="E6" i="7"/>
  <c r="C6" i="7"/>
  <c r="D6" i="7"/>
  <c r="B6" i="7"/>
  <c r="G5" i="7"/>
  <c r="F5" i="7"/>
  <c r="E5" i="7"/>
  <c r="D5" i="7"/>
  <c r="C5" i="7"/>
  <c r="B5" i="7"/>
  <c r="G4" i="7"/>
  <c r="F4" i="7"/>
  <c r="E4" i="7"/>
  <c r="D4" i="7"/>
  <c r="C4" i="7"/>
  <c r="B4" i="7"/>
  <c r="G3" i="7"/>
  <c r="F3" i="7"/>
  <c r="E3" i="7"/>
  <c r="D3" i="7"/>
  <c r="C3" i="7"/>
  <c r="B3" i="7"/>
  <c r="G2" i="7"/>
  <c r="F2" i="7"/>
  <c r="E2" i="7"/>
  <c r="D2" i="7"/>
  <c r="C2" i="7"/>
  <c r="B2" i="7"/>
  <c r="C4" i="8"/>
  <c r="C5" i="6"/>
  <c r="C8" i="6"/>
  <c r="C14" i="6"/>
  <c r="C14" i="5"/>
  <c r="C5" i="5"/>
  <c r="C3" i="5"/>
  <c r="F3" i="5"/>
  <c r="C14" i="1"/>
  <c r="C5" i="1"/>
  <c r="C3" i="1"/>
  <c r="C4" i="6" l="1"/>
  <c r="C3" i="6" l="1"/>
  <c r="C4" i="5" l="1"/>
  <c r="B55" i="1" l="1"/>
  <c r="B56" i="1"/>
  <c r="B57" i="1"/>
  <c r="B58" i="1"/>
  <c r="B59" i="1"/>
  <c r="B54" i="1"/>
  <c r="C4" i="1" s="1"/>
</calcChain>
</file>

<file path=xl/sharedStrings.xml><?xml version="1.0" encoding="utf-8"?>
<sst xmlns="http://schemas.openxmlformats.org/spreadsheetml/2006/main" count="396" uniqueCount="124">
  <si>
    <t xml:space="preserve">Strain ID: </t>
  </si>
  <si>
    <t>Parameters</t>
  </si>
  <si>
    <t>Value</t>
  </si>
  <si>
    <t>Units</t>
  </si>
  <si>
    <t>Category</t>
  </si>
  <si>
    <t>Light</t>
  </si>
  <si>
    <t>Saturation Light Intensity</t>
  </si>
  <si>
    <t>Huessemann et al., 2013</t>
  </si>
  <si>
    <r>
      <rPr>
        <sz val="11"/>
        <color theme="1"/>
        <rFont val="Calibri"/>
        <family val="2"/>
      </rPr>
      <t>μmol/m</t>
    </r>
    <r>
      <rPr>
        <vertAlign val="superscript"/>
        <sz val="11"/>
        <color theme="1"/>
        <rFont val="Calibri"/>
        <family val="2"/>
      </rPr>
      <t>2</t>
    </r>
    <r>
      <rPr>
        <sz val="11"/>
        <color theme="1"/>
        <rFont val="Calibri"/>
        <family val="2"/>
      </rPr>
      <t>s</t>
    </r>
  </si>
  <si>
    <r>
      <t>W/m</t>
    </r>
    <r>
      <rPr>
        <vertAlign val="superscript"/>
        <sz val="11"/>
        <color theme="1"/>
        <rFont val="Calibri"/>
        <family val="2"/>
      </rPr>
      <t>2</t>
    </r>
  </si>
  <si>
    <t>Optical Density Coefficient (ODC)</t>
  </si>
  <si>
    <t>Concentration</t>
  </si>
  <si>
    <t>Temperature</t>
  </si>
  <si>
    <t>Respiration</t>
  </si>
  <si>
    <t>per dark period</t>
  </si>
  <si>
    <t>1/day</t>
  </si>
  <si>
    <t>T_max</t>
  </si>
  <si>
    <t>T_min</t>
  </si>
  <si>
    <t>T_opt</t>
  </si>
  <si>
    <r>
      <t>OD</t>
    </r>
    <r>
      <rPr>
        <vertAlign val="subscript"/>
        <sz val="11"/>
        <color theme="1"/>
        <rFont val="Calibri"/>
        <family val="2"/>
        <scheme val="minor"/>
      </rPr>
      <t>750</t>
    </r>
    <r>
      <rPr>
        <sz val="11"/>
        <color theme="1"/>
        <rFont val="Calibri"/>
        <family val="2"/>
        <scheme val="minor"/>
      </rPr>
      <t xml:space="preserve"> (X)</t>
    </r>
  </si>
  <si>
    <t>g/L (Y)</t>
  </si>
  <si>
    <r>
      <t>g/L*OD</t>
    </r>
    <r>
      <rPr>
        <vertAlign val="subscript"/>
        <sz val="11"/>
        <color theme="1"/>
        <rFont val="Calibri"/>
        <family val="2"/>
        <scheme val="minor"/>
      </rPr>
      <t>750</t>
    </r>
  </si>
  <si>
    <t>Masojidek et al., 2011</t>
  </si>
  <si>
    <t>ºC</t>
  </si>
  <si>
    <t>Bartosh and Banks 2007</t>
  </si>
  <si>
    <t>Wilson and Huner 2000</t>
  </si>
  <si>
    <t>Dark Loss (% Biomass Loss/day)</t>
  </si>
  <si>
    <t>Reference</t>
  </si>
  <si>
    <t>Reported Value</t>
  </si>
  <si>
    <t>Calculations and Derivations</t>
  </si>
  <si>
    <t>Sandnes et al., 2005</t>
  </si>
  <si>
    <t>Palanichamy and Rani 2004</t>
  </si>
  <si>
    <t>Condition</t>
  </si>
  <si>
    <t>N+ (Nitrate to Nitrate Replete)</t>
  </si>
  <si>
    <t>N- (Nitrogen free)</t>
  </si>
  <si>
    <t>A - Ammonium to ammonium</t>
  </si>
  <si>
    <t xml:space="preserve">A+W - Ammonium with tungstate </t>
  </si>
  <si>
    <t>Nannochloropsis oceanica</t>
  </si>
  <si>
    <t>Nagappan 2015; Vanags et al., 2015 (ave of both)</t>
  </si>
  <si>
    <r>
      <t>g/(L*OD</t>
    </r>
    <r>
      <rPr>
        <vertAlign val="subscript"/>
        <sz val="11"/>
        <color theme="1"/>
        <rFont val="Calibri"/>
        <family val="2"/>
        <scheme val="minor"/>
      </rPr>
      <t>750</t>
    </r>
    <r>
      <rPr>
        <sz val="11"/>
        <color theme="1"/>
        <rFont val="Calibri"/>
        <family val="2"/>
        <scheme val="minor"/>
      </rPr>
      <t>)</t>
    </r>
  </si>
  <si>
    <r>
      <t>ATP</t>
    </r>
    <r>
      <rPr>
        <vertAlign val="superscript"/>
        <sz val="11"/>
        <color theme="1"/>
        <rFont val="Calibri"/>
        <family val="2"/>
      </rPr>
      <t xml:space="preserve">3 </t>
    </r>
    <r>
      <rPr>
        <sz val="11"/>
        <color theme="1"/>
        <rFont val="Calibri"/>
        <family val="2"/>
      </rPr>
      <t>Data</t>
    </r>
  </si>
  <si>
    <t>OD (750 nm)</t>
  </si>
  <si>
    <t>Biomass Concentration (g/L)</t>
  </si>
  <si>
    <t>Edmunson and Huesemann 2015 (average)</t>
  </si>
  <si>
    <t>Microalgae Strain</t>
  </si>
  <si>
    <t>Maximum Temperature: 
[ºC]</t>
  </si>
  <si>
    <t>Minimum Temperature
[ºC]</t>
  </si>
  <si>
    <t>Optimal
Temperature
[ºC]</t>
  </si>
  <si>
    <t>Lu et al., 2017</t>
  </si>
  <si>
    <t>Reported for Chlorella strain NAABB2412</t>
  </si>
  <si>
    <t>Sources</t>
  </si>
  <si>
    <r>
      <rPr>
        <b/>
        <sz val="11"/>
        <color theme="1"/>
        <rFont val="Calibri"/>
        <family val="2"/>
        <scheme val="minor"/>
      </rPr>
      <t xml:space="preserve">Huesemann et al., 2013: </t>
    </r>
    <r>
      <rPr>
        <sz val="11"/>
        <color theme="1"/>
        <rFont val="Calibri"/>
        <family val="2"/>
        <scheme val="minor"/>
      </rPr>
      <t xml:space="preserve">
M. H. Huesemann, J. V. Wagenen, T. Miller, A. Chavis, S. Hobbs, and B. Crowe, “A screening model to predict microalgae biomass growth in photobioreactors and raceway ponds,” Biotechnol. Bioeng., vol. 110, no. 6, pp. 1583–1594, 2013, doi: 10.1002/bit.24814.
</t>
    </r>
  </si>
  <si>
    <t>Reported as "Chlorella cultures"</t>
  </si>
  <si>
    <t>Reported for Chlorella vulgaris UTEX 259</t>
  </si>
  <si>
    <t>Reported for Chlorella strain NAABB2412
Assuming 10 hour dark period to calculate %AFDW lost</t>
  </si>
  <si>
    <t>Reported for Chlorella vulgaris</t>
  </si>
  <si>
    <t>Reported for Chlorella vulgaris Beijer (UTEX 265)</t>
  </si>
  <si>
    <t>Epirically Tuned</t>
  </si>
  <si>
    <r>
      <t xml:space="preserve">Masojidek et al., 2011: 
</t>
    </r>
    <r>
      <rPr>
        <sz val="11"/>
        <color theme="1"/>
        <rFont val="Calibri"/>
        <family val="2"/>
        <scheme val="minor"/>
      </rPr>
      <t>J. Masojídek, J. Kopecky, L. Giannelli, and G. Torzillo, “Productivity correlated to photochemical performance of Chlorella mass cultures grown outdoors in thin-layer cascades,” J. Ind. Microbiol. Biotechnol., vol. 38, pp. 307–17, Feb. 2011, doi: 10.1007/s10295-010-0774-x.</t>
    </r>
    <r>
      <rPr>
        <b/>
        <sz val="11"/>
        <color theme="1"/>
        <rFont val="Calibri"/>
        <family val="2"/>
        <scheme val="minor"/>
      </rPr>
      <t xml:space="preserve">
</t>
    </r>
  </si>
  <si>
    <r>
      <rPr>
        <b/>
        <sz val="11"/>
        <color theme="1"/>
        <rFont val="Calibri"/>
        <family val="2"/>
        <scheme val="minor"/>
      </rPr>
      <t>Bartosh and Banks 2007:</t>
    </r>
    <r>
      <rPr>
        <sz val="11"/>
        <color theme="1"/>
        <rFont val="Calibri"/>
        <family val="2"/>
        <scheme val="minor"/>
      </rPr>
      <t xml:space="preserve">
Y. Bartosh and C. J. Banks, “Algal growth response and survival in a range of light and temperature conditions: implications for non-steady-state conditions in waste stabilisation ponds,” Water Sci. Technol. J. Int. Assoc. Water Pollut. Res., vol. 55, no. 11, pp. 211–218, 2007, doi: 10.2166/wst.2007.365.</t>
    </r>
  </si>
  <si>
    <r>
      <rPr>
        <b/>
        <sz val="11"/>
        <color theme="1"/>
        <rFont val="Calibri"/>
        <family val="2"/>
        <scheme val="minor"/>
      </rPr>
      <t>Singh and Singh 2015:</t>
    </r>
    <r>
      <rPr>
        <sz val="11"/>
        <color theme="1"/>
        <rFont val="Calibri"/>
        <family val="2"/>
        <scheme val="minor"/>
      </rPr>
      <t xml:space="preserve">
S. P. Singh and P. Singh, “Effect of temperature and light on the growth of algae species: A review,” Renew. Sustain. Energy Rev., vol. 50, pp. 431–444, Oct. 2015, doi: 10.1016/j.rser.2015.05.024.</t>
    </r>
  </si>
  <si>
    <t>Singh and Singh 2015</t>
  </si>
  <si>
    <r>
      <rPr>
        <b/>
        <sz val="11"/>
        <color theme="1"/>
        <rFont val="Calibri"/>
        <family val="2"/>
        <scheme val="minor"/>
      </rPr>
      <t>Wilson and Huner 2000:</t>
    </r>
    <r>
      <rPr>
        <sz val="11"/>
        <color theme="1"/>
        <rFont val="Calibri"/>
        <family val="2"/>
        <scheme val="minor"/>
      </rPr>
      <t xml:space="preserve">
K. E. Wilson and N. P. A. Huner, “The role of growth rate, redox-state of the plastoquinone pool and the trans-thylakoid ΔpH in photoacclimation of Chlorella vulgaris to growth irradiance and temperature,” Planta, vol. 212, no. 1, pp. 93–102, Dec. 2000, doi: 10.1007/s004250000368.</t>
    </r>
  </si>
  <si>
    <t>Huete-Ortega et al., 2018</t>
  </si>
  <si>
    <t>Chlorella vulgaris</t>
  </si>
  <si>
    <t>Notes and strain specifics</t>
  </si>
  <si>
    <t>Reported for Nannochloropsis oceanica</t>
  </si>
  <si>
    <t>Reported for Nannochloropsis salina in PBRs
Assuming 10 hour dark period to calculate %AFDW lost</t>
  </si>
  <si>
    <t>Reported for Nannochloropsis oculata</t>
  </si>
  <si>
    <r>
      <rPr>
        <b/>
        <sz val="11"/>
        <color theme="1"/>
        <rFont val="Calibri"/>
        <family val="2"/>
        <scheme val="minor"/>
      </rPr>
      <t>Heuete-Ortega et al., 2018:</t>
    </r>
    <r>
      <rPr>
        <sz val="11"/>
        <color theme="1"/>
        <rFont val="Calibri"/>
        <family val="2"/>
        <scheme val="minor"/>
      </rPr>
      <t xml:space="preserve">
M. Huete-Ortega, K. Okurowska, R. V. Kapoore, M. P. Johnson, D. J. Gilmour, and S. Vaidyanathan, “Effect of ammonium and high light intensity on the accumulation of lipids in Nannochloropsis oceanica (CCAP 849/10) and Phaeodactylum tricornutum (CCAP 1055/1),” Biotechnol. Biofuels, vol. 11, Mar. 2018, doi: 10.1186/s13068-018-1061-8.</t>
    </r>
  </si>
  <si>
    <r>
      <t xml:space="preserve">Lu et al., 2017:
</t>
    </r>
    <r>
      <rPr>
        <sz val="11"/>
        <color theme="1"/>
        <rFont val="Calibri"/>
        <family val="2"/>
        <scheme val="minor"/>
      </rPr>
      <t>L. Lu, G. Yang, B. Zhu, and K. Pan, “A comparative study on three quantitating methods of microalgal biomass,” Indian J. Geo-Mar. Sci., vol. 46, pp. 2265–2272, Nov. 2017.</t>
    </r>
  </si>
  <si>
    <r>
      <rPr>
        <b/>
        <sz val="11"/>
        <color theme="1"/>
        <rFont val="Calibri"/>
        <family val="2"/>
        <scheme val="minor"/>
      </rPr>
      <t>Sandnes et al., 2005:</t>
    </r>
    <r>
      <rPr>
        <sz val="11"/>
        <color theme="1"/>
        <rFont val="Calibri"/>
        <family val="2"/>
        <scheme val="minor"/>
      </rPr>
      <t xml:space="preserve">
J. Sandnes, T. Källqvist, D. Wenner, and H. Gislerød, “Combined influence of light and temperature on growth rates of Nannochloropsis oceanica: Linking cellular responses to large-scale biomass production,” J. Appl. Phycol., vol. 17, pp. 515–525, Jan. 2005, doi: 10.1007/s10811-005-9002-x.</t>
    </r>
  </si>
  <si>
    <r>
      <rPr>
        <b/>
        <sz val="11"/>
        <color theme="1"/>
        <rFont val="Calibri"/>
        <family val="2"/>
        <scheme val="minor"/>
      </rPr>
      <t xml:space="preserve">Palanichamy and Rani 2004: </t>
    </r>
    <r>
      <rPr>
        <sz val="11"/>
        <color theme="1"/>
        <rFont val="Calibri"/>
        <family val="2"/>
        <scheme val="minor"/>
      </rPr>
      <t xml:space="preserve">
S. Palanichamy and Rani, “Observations on the long term preservation and culture of the marine microalga, Nannochloropsis oculata,” undefined, 2004. /paper/Observations-on-the-long-term-preservation-and-of-Palanichamy-Rani/91c6eacc3ec7896a190feb39e83cdda12d30161a (accessed Sep. 11, 2020).</t>
    </r>
  </si>
  <si>
    <t xml:space="preserve">Vanags et al., 2015 </t>
  </si>
  <si>
    <t>Reported for Desmodesmus communis in PBR</t>
  </si>
  <si>
    <t>35; 25</t>
  </si>
  <si>
    <t>Reported for Desmodesmus intermedius</t>
  </si>
  <si>
    <t>Approxiation based on the multi-species average of 6.8%</t>
  </si>
  <si>
    <t>Reported for Desmodesmus sp. MCC34</t>
  </si>
  <si>
    <t>Nagappan and Verma 2016</t>
  </si>
  <si>
    <t>Nagappan: Reported for Desmodesmus sp. MCC34
Vangas: Reported for Desmodesmus communis in PBR</t>
  </si>
  <si>
    <t>Desmodesmus intermedius</t>
  </si>
  <si>
    <r>
      <rPr>
        <b/>
        <sz val="11"/>
        <color theme="1"/>
        <rFont val="Calibri"/>
        <family val="2"/>
        <scheme val="minor"/>
      </rPr>
      <t>Vanags et al., 2015:</t>
    </r>
    <r>
      <rPr>
        <sz val="11"/>
        <color theme="1"/>
        <rFont val="Calibri"/>
        <family val="2"/>
        <scheme val="minor"/>
      </rPr>
      <t xml:space="preserve">
J. Vanags, L. Kunga, K. Dubencovs, V. Galvanauskas, and O. Grīgs, “Influence of Light Intensity and Temperature on Cultivation of Microalgae Desmodesmus Communis in Flasks and Laboratory-Scale Stirred Tank Photobioreactor,” Latv. J. Phys. Tech. Sci., vol. 52, no. 2, pp. 59–70, Apr. 2015, doi: 10.1515/lpts-2015-0012.</t>
    </r>
  </si>
  <si>
    <r>
      <t xml:space="preserve">ATP3 Data:
</t>
    </r>
    <r>
      <rPr>
        <sz val="11"/>
        <color theme="1"/>
        <rFont val="Calibri"/>
        <family val="2"/>
        <scheme val="minor"/>
      </rPr>
      <t>J. McGowen et al., “The Algae Testbed Public-Private Partnership (ATP3) framework; establishment of a national network of testbed sites to support sustainable algae production,” Algal Res., vol. 25, pp. 168–177, Jul. 2017, doi: 10.1016/j.algal.2017.05.017.</t>
    </r>
  </si>
  <si>
    <r>
      <rPr>
        <b/>
        <sz val="11"/>
        <color theme="1"/>
        <rFont val="Calibri"/>
        <family val="2"/>
        <scheme val="minor"/>
      </rPr>
      <t>Edmundson and Huesemann 2015:</t>
    </r>
    <r>
      <rPr>
        <sz val="11"/>
        <color theme="1"/>
        <rFont val="Calibri"/>
        <family val="2"/>
        <scheme val="minor"/>
      </rPr>
      <t xml:space="preserve">
S. J. Edmundson and M. H. Huesemann, “The dark side of algae cultivation: Characterizing night biomass loss in three photosynthetic algae, Chlorella sorokiniana, Nannochloropsis salina and Picochlorum sp.,” Algal Res., vol. 12, pp. 470–476, Nov. 2015, doi: 10.1016/j.algal.2015.10.012.
</t>
    </r>
  </si>
  <si>
    <r>
      <rPr>
        <b/>
        <sz val="11"/>
        <color theme="1"/>
        <rFont val="Calibri"/>
        <family val="2"/>
        <scheme val="minor"/>
      </rPr>
      <t>Nagappan and Verma 2016:</t>
    </r>
    <r>
      <rPr>
        <sz val="11"/>
        <color theme="1"/>
        <rFont val="Calibri"/>
        <family val="2"/>
        <scheme val="minor"/>
      </rPr>
      <t xml:space="preserve">
S. Nagappan and S. K. Verma, “Growth model for raceway pond cultivation of Desmodesmus sp. MCC34 isolated from a local water body,” Eng. Life Sci., vol. 16, no. 1, pp. 45–52, 2016, doi: 10.1002/elsc.201500024.</t>
    </r>
  </si>
  <si>
    <t>g/L</t>
  </si>
  <si>
    <t>Actual OD750 = Raw*dilution</t>
  </si>
  <si>
    <t>Date</t>
  </si>
  <si>
    <t>Lammers correspondance</t>
  </si>
  <si>
    <t>Doemel and Brock 1971</t>
  </si>
  <si>
    <t xml:space="preserve">Toplin et al. 2008 </t>
  </si>
  <si>
    <t>Oesterhelt et al. 2007</t>
  </si>
  <si>
    <t>Actual  OD750 = Raw*dilution</t>
  </si>
  <si>
    <t>Gross et al., 2002</t>
  </si>
  <si>
    <r>
      <t>Saturation Light Intensity:
[</t>
    </r>
    <r>
      <rPr>
        <sz val="11"/>
        <color theme="1"/>
        <rFont val="Calibri"/>
        <family val="2"/>
      </rPr>
      <t>μmol m</t>
    </r>
    <r>
      <rPr>
        <vertAlign val="superscript"/>
        <sz val="11"/>
        <color theme="1"/>
        <rFont val="Calibri"/>
        <family val="2"/>
      </rPr>
      <t>-2</t>
    </r>
    <r>
      <rPr>
        <sz val="11"/>
        <color theme="1"/>
        <rFont val="Calibri"/>
        <family val="2"/>
      </rPr>
      <t xml:space="preserve"> s</t>
    </r>
    <r>
      <rPr>
        <vertAlign val="superscript"/>
        <sz val="11"/>
        <color theme="1"/>
        <rFont val="Calibri"/>
        <family val="2"/>
      </rPr>
      <t>-1</t>
    </r>
    <r>
      <rPr>
        <sz val="11"/>
        <color theme="1"/>
        <rFont val="Calibri"/>
        <family val="2"/>
        <scheme val="minor"/>
      </rPr>
      <t>]</t>
    </r>
  </si>
  <si>
    <r>
      <t>Optical Density Coefficient (ODC):
[g m L</t>
    </r>
    <r>
      <rPr>
        <vertAlign val="superscript"/>
        <sz val="11"/>
        <color theme="1"/>
        <rFont val="Calibri"/>
        <family val="2"/>
        <scheme val="minor"/>
      </rPr>
      <t>-1</t>
    </r>
    <r>
      <rPr>
        <sz val="11"/>
        <color theme="1"/>
        <rFont val="Calibri"/>
        <family val="2"/>
        <scheme val="minor"/>
      </rPr>
      <t>]</t>
    </r>
  </si>
  <si>
    <t>Dark Loss:
[% AFDW]</t>
  </si>
  <si>
    <t>Chlorella vulgaris (Empirical)</t>
  </si>
  <si>
    <t>Chlorella vulgaris (Literature)</t>
  </si>
  <si>
    <t>Nannochloropsis oceanica (Literature)</t>
  </si>
  <si>
    <t>Nannochloropsis oceanica (Empirical)</t>
  </si>
  <si>
    <t>Desmodesmus intermedius (Empirical)</t>
  </si>
  <si>
    <t>Desmodesmus intermedius (Literature)</t>
  </si>
  <si>
    <t>AzCATI</t>
  </si>
  <si>
    <t>slope of curve (below)</t>
  </si>
  <si>
    <t>Reported for Galdieria sulphuraria</t>
  </si>
  <si>
    <t>Reported for Galdieria sulphuraria 5587.1</t>
  </si>
  <si>
    <r>
      <t xml:space="preserve">AzCATI Data:
</t>
    </r>
    <r>
      <rPr>
        <sz val="11"/>
        <color theme="1"/>
        <rFont val="Calibri"/>
        <family val="2"/>
        <scheme val="minor"/>
      </rPr>
      <t>J. McGowen et al., “The Algae Testbed Public-Private Partnership (ATP3) framework; establishment of a national network of testbed sites to support sustainable algae production,” Algal Res., vol. 25, pp. 168–177, Jul. 2017, doi: 10.1016/j.algal.2017.05.017.</t>
    </r>
  </si>
  <si>
    <t>Reported for Galdieria sulphuraria (Type II)</t>
  </si>
  <si>
    <r>
      <rPr>
        <b/>
        <sz val="11"/>
        <color theme="1"/>
        <rFont val="Calibri"/>
        <family val="2"/>
        <scheme val="minor"/>
      </rPr>
      <t>Toplin et al., 2008:</t>
    </r>
    <r>
      <rPr>
        <sz val="11"/>
        <color theme="1"/>
        <rFont val="Calibri"/>
        <family val="2"/>
        <scheme val="minor"/>
      </rPr>
      <t xml:space="preserve">
J. A. Toplin, T. B. Norris, C. R. Lehr, T. R. McDermott, and R. W. Castenholz, “Biogeographic and Phylogenetic Diversity of Thermoacidophilic Cyanidiales in Yellowstone National Park, Japan, and New Zealand,” Appl. Environ. Microbiol., vol. 74, no. 9, pp. 2822–2833, May 2008, doi: 10.1128/AEM.02741-07.</t>
    </r>
  </si>
  <si>
    <r>
      <t xml:space="preserve">Oesterhelt et al., 2007:
</t>
    </r>
    <r>
      <rPr>
        <sz val="11"/>
        <color theme="1"/>
        <rFont val="Calibri"/>
        <family val="2"/>
        <scheme val="minor"/>
      </rPr>
      <t>C. Oesterhelt, E. Schmälzlin, J. M. Schmitt, and H. Lokstein, “Regulation of photosynthesis in the unicellular acidophilic red alga Galdieria sulphuraria,” Plant J. Cell Mol. Biol., vol. 51, no. 3, pp. 500–511, Aug. 2007, doi: 10.1111/j.1365-313X.2007.03159.x.</t>
    </r>
  </si>
  <si>
    <r>
      <rPr>
        <b/>
        <sz val="11"/>
        <color theme="1"/>
        <rFont val="Calibri"/>
        <family val="2"/>
        <scheme val="minor"/>
      </rPr>
      <t xml:space="preserve">Lammers correspondance: </t>
    </r>
    <r>
      <rPr>
        <sz val="11"/>
        <color theme="1"/>
        <rFont val="Calibri"/>
        <family val="2"/>
        <scheme val="minor"/>
      </rPr>
      <t xml:space="preserve">
Data provided by Peter J. Lammers (co-author of this study)</t>
    </r>
  </si>
  <si>
    <t>Reported for Galdieria sulphuraria (general)</t>
  </si>
  <si>
    <r>
      <rPr>
        <b/>
        <sz val="11"/>
        <color theme="1"/>
        <rFont val="Calibri"/>
        <family val="2"/>
        <scheme val="minor"/>
      </rPr>
      <t>Doemel and Brock 1971:</t>
    </r>
    <r>
      <rPr>
        <sz val="11"/>
        <color theme="1"/>
        <rFont val="Calibri"/>
        <family val="2"/>
        <scheme val="minor"/>
      </rPr>
      <t xml:space="preserve">
W. N. DOEMEL and T. D. BROCK, “The Physiological Ecology of Cyanidium caldarium,” Microbiology, vol. 67, no. 1, pp. 17–32, 1971, doi: 10.1099/00221287-67-1-17.</t>
    </r>
  </si>
  <si>
    <t>Galdieria sulphuraria Soos</t>
  </si>
  <si>
    <t>Galdieria sulphuraria 5587.1</t>
  </si>
  <si>
    <t>Reported for Galdieria sulphuraria Soos</t>
  </si>
  <si>
    <t xml:space="preserve">Reported for Galdieria sulphuraria Soos </t>
  </si>
  <si>
    <r>
      <rPr>
        <b/>
        <sz val="11"/>
        <color theme="1"/>
        <rFont val="Calibri"/>
        <family val="2"/>
        <scheme val="minor"/>
      </rPr>
      <t>Gross et al., 2002:</t>
    </r>
    <r>
      <rPr>
        <sz val="11"/>
        <color theme="1"/>
        <rFont val="Calibri"/>
        <family val="2"/>
        <scheme val="minor"/>
      </rPr>
      <t xml:space="preserve">
W. Gross, C. Oesterhelt, G. Tischendorf, and F. Lederer, “Characterization of a non-thermophilic strain of the red algal genus Galdieria isolated from Soos (Czech Republic),” Eur. J. Phycol., vol. 37, no. 3, pp. 477–483, Aug. 2002, doi: 10.1017/S0967026202003773.</t>
    </r>
  </si>
  <si>
    <t>Galdieria sulphuraria 5587.1 (Literature)</t>
  </si>
  <si>
    <t>Galdieria sulphuraria Soos (Empirical)</t>
  </si>
  <si>
    <t>Galdieria sulphuraria 5587.1 (Empirical)</t>
  </si>
  <si>
    <t>Galdieria sulphuraria Soos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</si>
</sst>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 h:mm;@"/>
    <numFmt numFmtId="165" formatCode="0.000"/>
  </numFmts>
  <fonts count="11" x14ac:knownFonts="1">
    <font>
      <sz val="11"/>
      <color theme="1"/>
      <name val="Calibri"/>
      <family val="2"/>
      <scheme val="minor"/>
    </font>
    <font>
      <sz val="11"/>
      <color theme="1"/>
      <name val="Calibri"/>
      <family val="2"/>
    </font>
    <font>
      <vertAlign val="superscript"/>
      <sz val="11"/>
      <color theme="1"/>
      <name val="Calibri"/>
      <family val="2"/>
    </font>
    <font>
      <vertAlign val="subscript"/>
      <sz val="11"/>
      <color theme="1"/>
      <name val="Calibri"/>
      <family val="2"/>
      <scheme val="minor"/>
    </font>
    <font>
      <i/>
      <sz val="11"/>
      <color theme="1"/>
      <name val="Calibri"/>
      <family val="2"/>
      <scheme val="minor"/>
    </font>
    <font>
      <sz val="11"/>
      <color rgb="FF006100"/>
      <name val="Calibri"/>
      <family val="2"/>
      <scheme val="minor"/>
    </font>
    <font>
      <sz val="11"/>
      <color rgb="FF9C6500"/>
      <name val="Calibri"/>
      <family val="2"/>
      <scheme val="minor"/>
    </font>
    <font>
      <sz val="11"/>
      <name val="Calibri"/>
      <family val="2"/>
      <scheme val="minor"/>
    </font>
    <font>
      <vertAlign val="superscript"/>
      <sz val="11"/>
      <color theme="1"/>
      <name val="Calibri"/>
      <family val="2"/>
      <scheme val="minor"/>
    </font>
    <font>
      <b/>
      <sz val="11"/>
      <color theme="1"/>
      <name val="Calibri"/>
      <family val="2"/>
      <scheme val="minor"/>
    </font>
    <font>
      <u/>
      <sz val="11"/>
      <color theme="1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5" fillId="6" borderId="0" applyNumberFormat="0" applyBorder="0" applyAlignment="0" applyProtection="0"/>
    <xf numFmtId="0" fontId="6" fillId="7" borderId="0" applyNumberFormat="0" applyBorder="0" applyAlignment="0" applyProtection="0"/>
    <xf numFmtId="0" fontId="10" fillId="0" borderId="0" applyNumberFormat="0" applyFill="0" applyBorder="0" applyAlignment="0" applyProtection="0"/>
  </cellStyleXfs>
  <cellXfs count="103">
    <xf numFmtId="0" fontId="0" fillId="0" borderId="0" xfId="0"/>
    <xf numFmtId="2" fontId="0" fillId="0" borderId="0" xfId="0" applyNumberFormat="1"/>
    <xf numFmtId="0" fontId="0" fillId="4" borderId="2" xfId="0" applyFill="1" applyBorder="1"/>
    <xf numFmtId="0" fontId="0" fillId="3" borderId="1" xfId="0" applyFill="1" applyBorder="1"/>
    <xf numFmtId="0" fontId="0" fillId="0" borderId="1" xfId="0" applyBorder="1"/>
    <xf numFmtId="2" fontId="0" fillId="0" borderId="1" xfId="0" applyNumberFormat="1" applyBorder="1"/>
    <xf numFmtId="0" fontId="1" fillId="0" borderId="1" xfId="0" applyFont="1" applyBorder="1"/>
    <xf numFmtId="10" fontId="0" fillId="0" borderId="1" xfId="0" applyNumberFormat="1" applyBorder="1"/>
    <xf numFmtId="0" fontId="0" fillId="0" borderId="2" xfId="0" applyBorder="1" applyAlignment="1">
      <alignment vertical="center"/>
    </xf>
    <xf numFmtId="0" fontId="0" fillId="5" borderId="7" xfId="0" applyFill="1" applyBorder="1" applyAlignment="1"/>
    <xf numFmtId="0" fontId="0" fillId="5" borderId="8" xfId="0" applyFill="1" applyBorder="1" applyAlignment="1"/>
    <xf numFmtId="0" fontId="0" fillId="5" borderId="9" xfId="0" applyFill="1" applyBorder="1" applyAlignment="1"/>
    <xf numFmtId="0" fontId="0" fillId="5" borderId="10" xfId="0" applyFill="1" applyBorder="1" applyAlignment="1"/>
    <xf numFmtId="0" fontId="0" fillId="5" borderId="0" xfId="0" applyFill="1" applyBorder="1" applyAlignment="1"/>
    <xf numFmtId="0" fontId="0" fillId="5" borderId="11" xfId="0" applyFill="1" applyBorder="1" applyAlignment="1"/>
    <xf numFmtId="0" fontId="0" fillId="5" borderId="12" xfId="0" applyFill="1" applyBorder="1" applyAlignment="1"/>
    <xf numFmtId="0" fontId="0" fillId="5" borderId="13" xfId="0" applyFill="1" applyBorder="1" applyAlignment="1"/>
    <xf numFmtId="0" fontId="0" fillId="5" borderId="14" xfId="0" applyFill="1" applyBorder="1" applyAlignment="1"/>
    <xf numFmtId="0" fontId="0" fillId="3" borderId="18" xfId="0" applyFill="1" applyBorder="1"/>
    <xf numFmtId="0" fontId="0" fillId="0" borderId="18" xfId="0" applyBorder="1"/>
    <xf numFmtId="0" fontId="4" fillId="4" borderId="2" xfId="0" applyFont="1" applyFill="1" applyBorder="1"/>
    <xf numFmtId="0" fontId="0" fillId="5" borderId="1" xfId="0" applyFill="1" applyBorder="1" applyAlignment="1"/>
    <xf numFmtId="0" fontId="0" fillId="3" borderId="1" xfId="0" applyFill="1" applyBorder="1" applyAlignment="1"/>
    <xf numFmtId="0" fontId="0" fillId="3" borderId="18" xfId="0" applyFill="1" applyBorder="1" applyAlignment="1"/>
    <xf numFmtId="0" fontId="0" fillId="5" borderId="18" xfId="0" applyFill="1" applyBorder="1" applyAlignment="1"/>
    <xf numFmtId="0" fontId="0" fillId="5" borderId="10" xfId="0" applyFill="1" applyBorder="1"/>
    <xf numFmtId="0" fontId="0" fillId="5" borderId="0" xfId="0"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0" borderId="0" xfId="0" applyAlignment="1"/>
    <xf numFmtId="0" fontId="0" fillId="0" borderId="1" xfId="0" applyBorder="1" applyAlignment="1">
      <alignment horizontal="right"/>
    </xf>
    <xf numFmtId="0" fontId="7" fillId="0" borderId="1" xfId="1" applyFont="1" applyFill="1" applyBorder="1"/>
    <xf numFmtId="0" fontId="0" fillId="5" borderId="7" xfId="0" applyFill="1" applyBorder="1"/>
    <xf numFmtId="0" fontId="0" fillId="5" borderId="8" xfId="0" applyFill="1" applyBorder="1"/>
    <xf numFmtId="0" fontId="0" fillId="5" borderId="9" xfId="0" applyFill="1" applyBorder="1"/>
    <xf numFmtId="0" fontId="7" fillId="0" borderId="18" xfId="2" applyFont="1" applyFill="1" applyBorder="1"/>
    <xf numFmtId="0" fontId="0" fillId="8" borderId="1" xfId="0" applyFill="1" applyBorder="1" applyAlignment="1">
      <alignment horizontal="center" vertical="center" wrapText="1"/>
    </xf>
    <xf numFmtId="0" fontId="0" fillId="4"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7" fillId="9" borderId="1" xfId="0" applyFont="1" applyFill="1" applyBorder="1" applyAlignment="1">
      <alignment horizontal="center" vertical="center" wrapText="1"/>
    </xf>
    <xf numFmtId="0" fontId="1" fillId="0" borderId="1" xfId="0" applyFont="1" applyFill="1" applyBorder="1"/>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horizontal="center"/>
    </xf>
    <xf numFmtId="0" fontId="0" fillId="0" borderId="0" xfId="0" applyAlignment="1">
      <alignment horizontal="left" vertical="top"/>
    </xf>
    <xf numFmtId="0" fontId="0" fillId="0" borderId="0" xfId="0" applyBorder="1" applyAlignment="1">
      <alignment horizontal="left" vertical="center"/>
    </xf>
    <xf numFmtId="0" fontId="0" fillId="0" borderId="0" xfId="0" applyBorder="1"/>
    <xf numFmtId="0" fontId="0" fillId="5" borderId="0" xfId="0" applyFill="1"/>
    <xf numFmtId="0" fontId="0" fillId="4" borderId="1" xfId="0" applyFill="1" applyBorder="1"/>
    <xf numFmtId="0" fontId="0" fillId="0" borderId="1" xfId="0" applyBorder="1" applyAlignment="1">
      <alignment vertical="top" wrapText="1"/>
    </xf>
    <xf numFmtId="0" fontId="1" fillId="0" borderId="1" xfId="0" applyFont="1" applyFill="1" applyBorder="1" applyAlignment="1">
      <alignment wrapText="1"/>
    </xf>
    <xf numFmtId="0" fontId="7" fillId="0" borderId="0" xfId="0" applyFont="1" applyFill="1" applyBorder="1" applyAlignment="1"/>
    <xf numFmtId="0" fontId="7" fillId="5" borderId="0" xfId="0" applyFont="1" applyFill="1" applyBorder="1" applyAlignment="1"/>
    <xf numFmtId="2" fontId="7" fillId="5" borderId="0" xfId="0" applyNumberFormat="1" applyFont="1" applyFill="1" applyBorder="1"/>
    <xf numFmtId="0" fontId="7" fillId="5" borderId="0" xfId="0" applyFont="1" applyFill="1" applyBorder="1"/>
    <xf numFmtId="0" fontId="10" fillId="0" borderId="0" xfId="3"/>
    <xf numFmtId="2" fontId="0" fillId="0" borderId="1" xfId="0" applyNumberFormat="1" applyBorder="1" applyAlignment="1">
      <alignment horizontal="center"/>
    </xf>
    <xf numFmtId="10" fontId="0" fillId="0" borderId="1" xfId="0" applyNumberFormat="1" applyBorder="1" applyAlignment="1">
      <alignment horizontal="center"/>
    </xf>
    <xf numFmtId="0" fontId="0" fillId="0" borderId="19" xfId="0" applyBorder="1"/>
    <xf numFmtId="0" fontId="0" fillId="0" borderId="19" xfId="0" applyBorder="1" applyAlignment="1">
      <alignment horizontal="center"/>
    </xf>
    <xf numFmtId="2" fontId="0" fillId="0" borderId="19" xfId="0" applyNumberFormat="1" applyBorder="1" applyAlignment="1">
      <alignment horizontal="center"/>
    </xf>
    <xf numFmtId="10" fontId="0" fillId="0" borderId="19" xfId="0" applyNumberFormat="1" applyBorder="1" applyAlignment="1">
      <alignment horizontal="center"/>
    </xf>
    <xf numFmtId="0" fontId="0" fillId="0" borderId="5" xfId="0" applyBorder="1"/>
    <xf numFmtId="0" fontId="0" fillId="0" borderId="5" xfId="0" applyBorder="1" applyAlignment="1">
      <alignment horizontal="center"/>
    </xf>
    <xf numFmtId="2" fontId="0" fillId="0" borderId="5" xfId="0" applyNumberFormat="1" applyBorder="1" applyAlignment="1">
      <alignment horizontal="center"/>
    </xf>
    <xf numFmtId="10" fontId="0" fillId="0" borderId="5" xfId="0" applyNumberFormat="1" applyBorder="1" applyAlignment="1">
      <alignment horizontal="center"/>
    </xf>
    <xf numFmtId="0" fontId="0" fillId="0" borderId="19" xfId="0" applyFill="1" applyBorder="1"/>
    <xf numFmtId="0" fontId="0" fillId="0" borderId="5" xfId="0" applyFill="1" applyBorder="1"/>
    <xf numFmtId="164" fontId="0" fillId="3" borderId="1" xfId="0" applyNumberFormat="1" applyFill="1" applyBorder="1" applyAlignment="1">
      <alignment horizontal="center"/>
    </xf>
    <xf numFmtId="2" fontId="0" fillId="3" borderId="1" xfId="0" applyNumberFormat="1" applyFill="1" applyBorder="1" applyAlignment="1">
      <alignment horizontal="center"/>
    </xf>
    <xf numFmtId="14" fontId="0" fillId="5" borderId="1" xfId="0" applyNumberFormat="1" applyFill="1" applyBorder="1"/>
    <xf numFmtId="165" fontId="0" fillId="0" borderId="1" xfId="0" applyNumberFormat="1" applyBorder="1" applyAlignment="1"/>
    <xf numFmtId="2" fontId="0" fillId="5" borderId="1" xfId="0" applyNumberFormat="1" applyFill="1" applyBorder="1" applyAlignment="1"/>
    <xf numFmtId="164" fontId="0" fillId="3" borderId="18" xfId="0" applyNumberFormat="1" applyFill="1" applyBorder="1" applyAlignment="1">
      <alignment horizontal="center"/>
    </xf>
    <xf numFmtId="164" fontId="0" fillId="0" borderId="18" xfId="0" applyNumberFormat="1" applyBorder="1"/>
    <xf numFmtId="0" fontId="7" fillId="5" borderId="10" xfId="0" applyFont="1" applyFill="1" applyBorder="1" applyAlignment="1"/>
    <xf numFmtId="0" fontId="7" fillId="5" borderId="10" xfId="0" applyFont="1" applyFill="1" applyBorder="1"/>
    <xf numFmtId="0" fontId="7" fillId="0" borderId="10" xfId="0" applyFont="1" applyFill="1" applyBorder="1" applyAlignment="1"/>
    <xf numFmtId="0" fontId="0" fillId="3" borderId="1" xfId="0" applyFill="1" applyBorder="1" applyAlignment="1">
      <alignment horizontal="center" vertical="center"/>
    </xf>
    <xf numFmtId="0" fontId="0" fillId="2" borderId="5" xfId="0" applyFill="1" applyBorder="1"/>
    <xf numFmtId="0" fontId="0" fillId="2" borderId="5" xfId="0" applyFill="1" applyBorder="1" applyAlignment="1">
      <alignment horizontal="center"/>
    </xf>
    <xf numFmtId="2" fontId="0" fillId="2" borderId="5" xfId="0" applyNumberFormat="1" applyFill="1" applyBorder="1" applyAlignment="1">
      <alignment horizontal="center"/>
    </xf>
    <xf numFmtId="10" fontId="0" fillId="2" borderId="5" xfId="0" applyNumberFormat="1" applyFill="1" applyBorder="1" applyAlignment="1">
      <alignment horizontal="center"/>
    </xf>
    <xf numFmtId="0" fontId="0" fillId="2" borderId="19" xfId="0" applyFill="1" applyBorder="1"/>
    <xf numFmtId="0" fontId="0" fillId="2" borderId="19" xfId="0" applyFill="1" applyBorder="1" applyAlignment="1">
      <alignment horizontal="center"/>
    </xf>
    <xf numFmtId="2" fontId="0" fillId="2" borderId="19" xfId="0" applyNumberFormat="1" applyFill="1" applyBorder="1" applyAlignment="1">
      <alignment horizontal="center"/>
    </xf>
    <xf numFmtId="10" fontId="0" fillId="2" borderId="19" xfId="0" applyNumberForma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left" vertical="center"/>
    </xf>
    <xf numFmtId="0" fontId="0" fillId="0" borderId="5" xfId="0" applyBorder="1" applyAlignment="1">
      <alignment horizontal="left" vertic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9" fillId="0" borderId="1" xfId="0" applyFont="1" applyBorder="1" applyAlignment="1">
      <alignment horizontal="left" vertical="top" wrapText="1"/>
    </xf>
    <xf numFmtId="0" fontId="0" fillId="12" borderId="1" xfId="0" applyFill="1" applyBorder="1" applyAlignment="1">
      <alignment horizontal="center"/>
    </xf>
    <xf numFmtId="0" fontId="0" fillId="13" borderId="1" xfId="0" applyFill="1" applyBorder="1" applyAlignment="1">
      <alignment horizontal="center"/>
    </xf>
    <xf numFmtId="0" fontId="0" fillId="0" borderId="1" xfId="0" applyBorder="1" applyAlignment="1">
      <alignment horizontal="left" vertical="center"/>
    </xf>
  </cellXfs>
  <cellStyles count="4">
    <cellStyle name="Good" xfId="1" builtinId="26"/>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OD750 vs. Biomass Concentration (g/L) - </a:t>
            </a:r>
            <a:r>
              <a:rPr lang="en-US" i="1"/>
              <a:t>Same</a:t>
            </a:r>
            <a:r>
              <a:rPr lang="en-US" i="1" baseline="0"/>
              <a:t> curve as above but using biomass multiplier (K = 1.0287)</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'Chlorella vulgaris'!$B$53</c:f>
              <c:strCache>
                <c:ptCount val="1"/>
                <c:pt idx="0">
                  <c:v>g/L (Y)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'Chlorella vulgaris'!$A$54:$A$59</c:f>
              <c:numCache>
                <c:formatCode>General</c:formatCode>
                <c:ptCount val="6"/>
                <c:pt idx="0">
                  <c:v>0</c:v>
                </c:pt>
                <c:pt idx="1">
                  <c:v>10</c:v>
                </c:pt>
                <c:pt idx="2">
                  <c:v>20</c:v>
                </c:pt>
                <c:pt idx="3">
                  <c:v>30</c:v>
                </c:pt>
                <c:pt idx="4">
                  <c:v>40</c:v>
                </c:pt>
                <c:pt idx="5">
                  <c:v>50</c:v>
                </c:pt>
              </c:numCache>
            </c:numRef>
          </c:xVal>
          <c:yVal>
            <c:numRef>
              <c:f>'Chlorella vulgaris'!$B$54:$B$59</c:f>
              <c:numCache>
                <c:formatCode>0.00</c:formatCode>
                <c:ptCount val="6"/>
                <c:pt idx="0">
                  <c:v>0</c:v>
                </c:pt>
                <c:pt idx="1">
                  <c:v>10.360037699999999</c:v>
                </c:pt>
                <c:pt idx="2">
                  <c:v>20.720075399999999</c:v>
                </c:pt>
                <c:pt idx="3">
                  <c:v>31.080113099999998</c:v>
                </c:pt>
                <c:pt idx="4">
                  <c:v>41.440150799999998</c:v>
                </c:pt>
                <c:pt idx="5">
                  <c:v>51.800188499999997</c:v>
                </c:pt>
              </c:numCache>
            </c:numRef>
          </c:yVal>
          <c:smooth val="1"/>
          <c:extLst>
            <c:ext xmlns:c16="http://schemas.microsoft.com/office/drawing/2014/chart" uri="{C3380CC4-5D6E-409C-BE32-E72D297353CC}">
              <c16:uniqueId val="{00000000-4CB8-4276-9A13-9BEBC2172303}"/>
            </c:ext>
          </c:extLst>
        </c:ser>
        <c:dLbls>
          <c:showLegendKey val="0"/>
          <c:showVal val="0"/>
          <c:showCatName val="0"/>
          <c:showSerName val="0"/>
          <c:showPercent val="0"/>
          <c:showBubbleSize val="0"/>
        </c:dLbls>
        <c:axId val="712813728"/>
        <c:axId val="712807496"/>
      </c:scatterChart>
      <c:valAx>
        <c:axId val="712813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OD</a:t>
                </a:r>
                <a:r>
                  <a:rPr lang="en-US" baseline="-25000"/>
                  <a:t>750</a:t>
                </a:r>
                <a:r>
                  <a:rPr lang="en-US" baseline="0"/>
                  <a:t> [r.u.]</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07496"/>
        <c:crosses val="autoZero"/>
        <c:crossBetween val="midCat"/>
      </c:valAx>
      <c:valAx>
        <c:axId val="712807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(g/L)</a:t>
                </a:r>
              </a:p>
            </c:rich>
          </c:tx>
          <c:layout>
            <c:manualLayout>
              <c:xMode val="edge"/>
              <c:yMode val="edge"/>
              <c:x val="1.5079568471036642E-2"/>
              <c:y val="0.300010921328680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13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OD750 vs. Biomass Concentration (mg/mL) - </a:t>
            </a:r>
            <a:r>
              <a:rPr lang="en-US" i="1"/>
              <a:t>Same</a:t>
            </a:r>
            <a:r>
              <a:rPr lang="en-US" i="1" baseline="0"/>
              <a:t> curve as above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'Nannochloropsis oceanica'!$B$56</c:f>
              <c:strCache>
                <c:ptCount val="1"/>
                <c:pt idx="0">
                  <c:v>g/L (Y)</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4.7395939672787074E-2"/>
                  <c:y val="0.168014529412081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'Nannochloropsis oceanica'!$A$57:$A$63</c:f>
              <c:numCache>
                <c:formatCode>General</c:formatCode>
                <c:ptCount val="7"/>
                <c:pt idx="0">
                  <c:v>0.08</c:v>
                </c:pt>
                <c:pt idx="1">
                  <c:v>0.11</c:v>
                </c:pt>
                <c:pt idx="2">
                  <c:v>0.24</c:v>
                </c:pt>
                <c:pt idx="3">
                  <c:v>0.37</c:v>
                </c:pt>
                <c:pt idx="4">
                  <c:v>0.46</c:v>
                </c:pt>
                <c:pt idx="5">
                  <c:v>0.57999999999999996</c:v>
                </c:pt>
                <c:pt idx="6">
                  <c:v>0.7</c:v>
                </c:pt>
              </c:numCache>
            </c:numRef>
          </c:xVal>
          <c:yVal>
            <c:numRef>
              <c:f>'Nannochloropsis oceanica'!$B$57:$B$63</c:f>
              <c:numCache>
                <c:formatCode>0.00</c:formatCode>
                <c:ptCount val="7"/>
                <c:pt idx="0">
                  <c:v>0</c:v>
                </c:pt>
                <c:pt idx="1">
                  <c:v>0.01</c:v>
                </c:pt>
                <c:pt idx="2">
                  <c:v>5.0999999999999997E-2</c:v>
                </c:pt>
                <c:pt idx="3">
                  <c:v>7.4999999999999997E-2</c:v>
                </c:pt>
                <c:pt idx="4">
                  <c:v>0.12</c:v>
                </c:pt>
                <c:pt idx="5">
                  <c:v>0.15</c:v>
                </c:pt>
                <c:pt idx="6" formatCode="General">
                  <c:v>0.18</c:v>
                </c:pt>
              </c:numCache>
            </c:numRef>
          </c:yVal>
          <c:smooth val="1"/>
          <c:extLst>
            <c:ext xmlns:c16="http://schemas.microsoft.com/office/drawing/2014/chart" uri="{C3380CC4-5D6E-409C-BE32-E72D297353CC}">
              <c16:uniqueId val="{00000000-3EF4-43D0-AF67-F0BCA9327EA7}"/>
            </c:ext>
          </c:extLst>
        </c:ser>
        <c:dLbls>
          <c:showLegendKey val="0"/>
          <c:showVal val="0"/>
          <c:showCatName val="0"/>
          <c:showSerName val="0"/>
          <c:showPercent val="0"/>
          <c:showBubbleSize val="0"/>
        </c:dLbls>
        <c:axId val="712813728"/>
        <c:axId val="712807496"/>
      </c:scatterChart>
      <c:valAx>
        <c:axId val="712813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OD</a:t>
                </a:r>
                <a:r>
                  <a:rPr lang="en-US" baseline="-25000"/>
                  <a:t>750</a:t>
                </a:r>
                <a:endParaRPr lang="en-US" baseline="0"/>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07496"/>
        <c:crosses val="autoZero"/>
        <c:crossBetween val="midCat"/>
      </c:valAx>
      <c:valAx>
        <c:axId val="712807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Concentration (gm/mL)</a:t>
                </a:r>
              </a:p>
            </c:rich>
          </c:tx>
          <c:layout>
            <c:manualLayout>
              <c:xMode val="edge"/>
              <c:yMode val="edge"/>
              <c:x val="1.5079568471036642E-2"/>
              <c:y val="0.300010921328680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13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a:t>
            </a:r>
            <a:r>
              <a:rPr lang="en-US" baseline="-25000"/>
              <a:t>750 </a:t>
            </a:r>
            <a:r>
              <a:rPr lang="en-US" baseline="0"/>
              <a:t>vs. Biomass Concentration (g/L) - ATP3</a:t>
            </a:r>
          </a:p>
          <a:p>
            <a:pPr>
              <a:defRPr/>
            </a:pPr>
            <a:r>
              <a:rPr lang="en-US" sz="1200" baseline="0"/>
              <a:t>(Data for Desmodesmus intermedium grown at GT Jun-Ju '15)</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0385899010330131"/>
                  <c:y val="-7.50527197031405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'Desmodesmus intermedius'!$A$28:$A$35</c:f>
              <c:numCache>
                <c:formatCode>General</c:formatCode>
                <c:ptCount val="8"/>
                <c:pt idx="0">
                  <c:v>0.21</c:v>
                </c:pt>
                <c:pt idx="1">
                  <c:v>0.36</c:v>
                </c:pt>
                <c:pt idx="2">
                  <c:v>0.4</c:v>
                </c:pt>
                <c:pt idx="3">
                  <c:v>0.44</c:v>
                </c:pt>
                <c:pt idx="4">
                  <c:v>0.59</c:v>
                </c:pt>
                <c:pt idx="5">
                  <c:v>0.65</c:v>
                </c:pt>
                <c:pt idx="6">
                  <c:v>0.67</c:v>
                </c:pt>
                <c:pt idx="7">
                  <c:v>0.69</c:v>
                </c:pt>
              </c:numCache>
            </c:numRef>
          </c:xVal>
          <c:yVal>
            <c:numRef>
              <c:f>'Desmodesmus intermedius'!$B$28:$B$35</c:f>
              <c:numCache>
                <c:formatCode>General</c:formatCode>
                <c:ptCount val="8"/>
                <c:pt idx="0">
                  <c:v>0.09</c:v>
                </c:pt>
                <c:pt idx="1">
                  <c:v>0.15</c:v>
                </c:pt>
                <c:pt idx="2">
                  <c:v>0.16</c:v>
                </c:pt>
                <c:pt idx="3">
                  <c:v>0.18</c:v>
                </c:pt>
                <c:pt idx="4">
                  <c:v>0.2</c:v>
                </c:pt>
                <c:pt idx="5">
                  <c:v>0.27</c:v>
                </c:pt>
                <c:pt idx="6">
                  <c:v>0.28999999999999998</c:v>
                </c:pt>
                <c:pt idx="7">
                  <c:v>0.33</c:v>
                </c:pt>
              </c:numCache>
            </c:numRef>
          </c:yVal>
          <c:smooth val="0"/>
          <c:extLst>
            <c:ext xmlns:c16="http://schemas.microsoft.com/office/drawing/2014/chart" uri="{C3380CC4-5D6E-409C-BE32-E72D297353CC}">
              <c16:uniqueId val="{00000000-7FEF-4EE9-B7FC-267FBF473E41}"/>
            </c:ext>
          </c:extLst>
        </c:ser>
        <c:dLbls>
          <c:showLegendKey val="0"/>
          <c:showVal val="0"/>
          <c:showCatName val="0"/>
          <c:showSerName val="0"/>
          <c:showPercent val="0"/>
          <c:showBubbleSize val="0"/>
        </c:dLbls>
        <c:axId val="508989232"/>
        <c:axId val="508990544"/>
      </c:scatterChart>
      <c:valAx>
        <c:axId val="508989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OD750</a:t>
                </a:r>
                <a:r>
                  <a:rPr lang="en-US" baseline="0"/>
                  <a:t> (Experimental Data)</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90544"/>
        <c:crosses val="autoZero"/>
        <c:crossBetween val="midCat"/>
      </c:valAx>
      <c:valAx>
        <c:axId val="50899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Biomass Concentraiton (g/L)</a:t>
                </a:r>
              </a:p>
            </c:rich>
          </c:tx>
          <c:layout>
            <c:manualLayout>
              <c:xMode val="edge"/>
              <c:yMode val="edge"/>
              <c:x val="1.9571865443425075E-2"/>
              <c:y val="0.319334328898542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89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200" b="0" i="0" baseline="0">
                <a:effectLst/>
              </a:rPr>
              <a:t>OD</a:t>
            </a:r>
            <a:r>
              <a:rPr lang="en-US" sz="1200" b="0" i="0" baseline="-25000">
                <a:effectLst/>
              </a:rPr>
              <a:t>750 </a:t>
            </a:r>
            <a:r>
              <a:rPr lang="en-US" sz="1200" b="0" i="0" baseline="0">
                <a:effectLst/>
              </a:rPr>
              <a:t>vs. Biomass Concentration (g/L) - AzCATI</a:t>
            </a:r>
            <a:endParaRPr lang="en-US" sz="1200">
              <a:effectLst/>
            </a:endParaRPr>
          </a:p>
          <a:p>
            <a:pPr>
              <a:defRPr sz="900"/>
            </a:pPr>
            <a:r>
              <a:rPr lang="en-US" sz="900" b="0" i="0" baseline="0">
                <a:effectLst/>
              </a:rPr>
              <a:t>(Data for Galdieria sulphuraria 5587.1 grown at AzCATI Jun-Ju '16)</a:t>
            </a:r>
            <a:endParaRPr lang="en-US" sz="900">
              <a:effectLst/>
            </a:endParaRPr>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'Galdieria sulphuraria 5587.1'!$C$32</c:f>
              <c:strCache>
                <c:ptCount val="1"/>
                <c:pt idx="0">
                  <c:v>g/L</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7276026379214032"/>
                  <c:y val="7.3645289794860055E-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rendlineLbl>
          </c:trendline>
          <c:xVal>
            <c:numRef>
              <c:f>'Galdieria sulphuraria 5587.1'!$B$33:$B$44</c:f>
              <c:numCache>
                <c:formatCode>General</c:formatCode>
                <c:ptCount val="12"/>
                <c:pt idx="0">
                  <c:v>0.438</c:v>
                </c:pt>
                <c:pt idx="1">
                  <c:v>0.56999999999999995</c:v>
                </c:pt>
                <c:pt idx="2">
                  <c:v>0.89400000000000002</c:v>
                </c:pt>
                <c:pt idx="3">
                  <c:v>2.48</c:v>
                </c:pt>
                <c:pt idx="4">
                  <c:v>3.53</c:v>
                </c:pt>
                <c:pt idx="5">
                  <c:v>4.42</c:v>
                </c:pt>
                <c:pt idx="6">
                  <c:v>4.96</c:v>
                </c:pt>
                <c:pt idx="7">
                  <c:v>4.42</c:v>
                </c:pt>
                <c:pt idx="8">
                  <c:v>4.5600000000000005</c:v>
                </c:pt>
                <c:pt idx="9">
                  <c:v>4.8</c:v>
                </c:pt>
                <c:pt idx="10">
                  <c:v>4.8</c:v>
                </c:pt>
                <c:pt idx="11">
                  <c:v>5.08</c:v>
                </c:pt>
              </c:numCache>
            </c:numRef>
          </c:xVal>
          <c:yVal>
            <c:numRef>
              <c:f>'Galdieria sulphuraria 5587.1'!$C$33:$C$44</c:f>
              <c:numCache>
                <c:formatCode>General</c:formatCode>
                <c:ptCount val="12"/>
                <c:pt idx="0">
                  <c:v>0.17520000000000002</c:v>
                </c:pt>
                <c:pt idx="1">
                  <c:v>0.22799999999999998</c:v>
                </c:pt>
                <c:pt idx="2">
                  <c:v>0.35760000000000003</c:v>
                </c:pt>
                <c:pt idx="3">
                  <c:v>0.99199999999999999</c:v>
                </c:pt>
                <c:pt idx="4">
                  <c:v>1.4119999999999999</c:v>
                </c:pt>
                <c:pt idx="5">
                  <c:v>1.768</c:v>
                </c:pt>
                <c:pt idx="6">
                  <c:v>1.984</c:v>
                </c:pt>
                <c:pt idx="7">
                  <c:v>1.768</c:v>
                </c:pt>
                <c:pt idx="8">
                  <c:v>1.8240000000000003</c:v>
                </c:pt>
                <c:pt idx="9">
                  <c:v>1.92</c:v>
                </c:pt>
                <c:pt idx="10">
                  <c:v>1.92</c:v>
                </c:pt>
                <c:pt idx="11">
                  <c:v>2.032</c:v>
                </c:pt>
              </c:numCache>
            </c:numRef>
          </c:yVal>
          <c:smooth val="0"/>
          <c:extLst>
            <c:ext xmlns:c16="http://schemas.microsoft.com/office/drawing/2014/chart" uri="{C3380CC4-5D6E-409C-BE32-E72D297353CC}">
              <c16:uniqueId val="{00000000-4625-4C7F-BACB-FBE83796F4F0}"/>
            </c:ext>
          </c:extLst>
        </c:ser>
        <c:dLbls>
          <c:showLegendKey val="0"/>
          <c:showVal val="0"/>
          <c:showCatName val="0"/>
          <c:showSerName val="0"/>
          <c:showPercent val="0"/>
          <c:showBubbleSize val="0"/>
        </c:dLbls>
        <c:axId val="754392991"/>
        <c:axId val="465783087"/>
      </c:scatterChart>
      <c:valAx>
        <c:axId val="754392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OD750</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5783087"/>
        <c:crosses val="autoZero"/>
        <c:crossBetween val="midCat"/>
      </c:valAx>
      <c:valAx>
        <c:axId val="46578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Biomass Concentration (gpL)</a:t>
                </a:r>
              </a:p>
            </c:rich>
          </c:tx>
          <c:layout>
            <c:manualLayout>
              <c:xMode val="edge"/>
              <c:yMode val="edge"/>
              <c:x val="2.5068543715000266E-2"/>
              <c:y val="0.23455210073776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54392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a:solidFill>
                  <a:sysClr val="windowText" lastClr="000000"/>
                </a:solidFill>
              </a:rPr>
              <a:t>OD750 vs. Biomass Concentration (g/L)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r>
              <a:rPr lang="en-US" sz="1100" b="0" i="0" baseline="0">
                <a:solidFill>
                  <a:sysClr val="windowText" lastClr="000000"/>
                </a:solidFill>
                <a:effectLst/>
              </a:rPr>
              <a:t>(Data for Galdieria sulphuraria Soos grown at AzCATI March '16)</a:t>
            </a:r>
            <a:endParaRPr lang="en-US" sz="1000">
              <a:solidFill>
                <a:sysClr val="windowText" lastClr="000000"/>
              </a:solidFill>
              <a:effectLst/>
            </a:endParaRPr>
          </a:p>
        </c:rich>
      </c:tx>
      <c:layout>
        <c:manualLayout>
          <c:xMode val="edge"/>
          <c:yMode val="edge"/>
          <c:x val="0.1557693197589131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'Galdieria sulphuraria Soos'!$C$28</c:f>
              <c:strCache>
                <c:ptCount val="1"/>
                <c:pt idx="0">
                  <c:v>g/L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293510911914848"/>
                  <c:y val="5.230440035163981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'Galdieria sulphuraria Soos'!$B$29:$B$43</c:f>
              <c:numCache>
                <c:formatCode>0.00</c:formatCode>
                <c:ptCount val="15"/>
                <c:pt idx="0">
                  <c:v>2.4900000000000002</c:v>
                </c:pt>
                <c:pt idx="1">
                  <c:v>2.7350000000000003</c:v>
                </c:pt>
                <c:pt idx="2">
                  <c:v>2.8950000000000005</c:v>
                </c:pt>
                <c:pt idx="3">
                  <c:v>3.21</c:v>
                </c:pt>
                <c:pt idx="4">
                  <c:v>3.1850000000000001</c:v>
                </c:pt>
                <c:pt idx="5">
                  <c:v>3.3499999999999996</c:v>
                </c:pt>
                <c:pt idx="6">
                  <c:v>3.5950000000000006</c:v>
                </c:pt>
                <c:pt idx="7">
                  <c:v>3.84</c:v>
                </c:pt>
                <c:pt idx="8">
                  <c:v>3.375</c:v>
                </c:pt>
                <c:pt idx="9">
                  <c:v>3.9749999999999996</c:v>
                </c:pt>
                <c:pt idx="10">
                  <c:v>4.0200000000000005</c:v>
                </c:pt>
                <c:pt idx="11">
                  <c:v>4.24</c:v>
                </c:pt>
                <c:pt idx="12">
                  <c:v>4.2850000000000001</c:v>
                </c:pt>
                <c:pt idx="13">
                  <c:v>4.67</c:v>
                </c:pt>
                <c:pt idx="14">
                  <c:v>4.6333333333333337</c:v>
                </c:pt>
              </c:numCache>
            </c:numRef>
          </c:xVal>
          <c:yVal>
            <c:numRef>
              <c:f>'Galdieria sulphuraria Soos'!$C$29:$C$43</c:f>
              <c:numCache>
                <c:formatCode>0.00</c:formatCode>
                <c:ptCount val="15"/>
                <c:pt idx="0">
                  <c:v>1.0956000000000001</c:v>
                </c:pt>
                <c:pt idx="1">
                  <c:v>1.2034</c:v>
                </c:pt>
                <c:pt idx="2">
                  <c:v>1.2738</c:v>
                </c:pt>
                <c:pt idx="3">
                  <c:v>1.4123999999999999</c:v>
                </c:pt>
                <c:pt idx="4">
                  <c:v>1.4014</c:v>
                </c:pt>
                <c:pt idx="5">
                  <c:v>1.4740000000000002</c:v>
                </c:pt>
                <c:pt idx="6">
                  <c:v>1.5818000000000001</c:v>
                </c:pt>
                <c:pt idx="7">
                  <c:v>1.6896</c:v>
                </c:pt>
                <c:pt idx="8">
                  <c:v>1.4849999999999999</c:v>
                </c:pt>
                <c:pt idx="9">
                  <c:v>1.7490000000000001</c:v>
                </c:pt>
                <c:pt idx="10">
                  <c:v>1.7688000000000001</c:v>
                </c:pt>
                <c:pt idx="11">
                  <c:v>1.8656000000000001</c:v>
                </c:pt>
                <c:pt idx="12">
                  <c:v>1.8854</c:v>
                </c:pt>
                <c:pt idx="13">
                  <c:v>2.0547999999999997</c:v>
                </c:pt>
                <c:pt idx="14">
                  <c:v>2.0386666666666664</c:v>
                </c:pt>
              </c:numCache>
            </c:numRef>
          </c:yVal>
          <c:smooth val="1"/>
          <c:extLst>
            <c:ext xmlns:c16="http://schemas.microsoft.com/office/drawing/2014/chart" uri="{C3380CC4-5D6E-409C-BE32-E72D297353CC}">
              <c16:uniqueId val="{00000000-20E7-4B84-8D85-6B869D269E65}"/>
            </c:ext>
          </c:extLst>
        </c:ser>
        <c:dLbls>
          <c:showLegendKey val="0"/>
          <c:showVal val="0"/>
          <c:showCatName val="0"/>
          <c:showSerName val="0"/>
          <c:showPercent val="0"/>
          <c:showBubbleSize val="0"/>
        </c:dLbls>
        <c:axId val="712813728"/>
        <c:axId val="712807496"/>
      </c:scatterChart>
      <c:valAx>
        <c:axId val="712813728"/>
        <c:scaling>
          <c:orientation val="minMax"/>
          <c:min val="2"/>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mn-lt"/>
                    <a:ea typeface="+mn-ea"/>
                    <a:cs typeface="+mn-cs"/>
                  </a:defRPr>
                </a:pPr>
                <a:r>
                  <a:rPr lang="en-US" sz="1800" b="0" i="0" baseline="0">
                    <a:solidFill>
                      <a:sysClr val="windowText" lastClr="000000"/>
                    </a:solidFill>
                    <a:effectLst/>
                  </a:rPr>
                  <a:t>OD</a:t>
                </a:r>
                <a:r>
                  <a:rPr lang="en-US" sz="1800" b="0" i="0" baseline="-25000">
                    <a:solidFill>
                      <a:sysClr val="windowText" lastClr="000000"/>
                    </a:solidFill>
                    <a:effectLst/>
                  </a:rPr>
                  <a:t>750</a:t>
                </a:r>
                <a:endParaRPr lang="en-US">
                  <a:solidFill>
                    <a:sysClr val="windowText" lastClr="0000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baseline="0">
                  <a:solidFill>
                    <a:sysClr val="windowText" lastClr="000000"/>
                  </a:solidFill>
                </a:endParaRPr>
              </a:p>
            </c:rich>
          </c:tx>
          <c:layout>
            <c:manualLayout>
              <c:xMode val="edge"/>
              <c:yMode val="edge"/>
              <c:x val="0.47102883279295971"/>
              <c:y val="0.8640784690646063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12807496"/>
        <c:crosses val="autoZero"/>
        <c:crossBetween val="midCat"/>
      </c:valAx>
      <c:valAx>
        <c:axId val="712807496"/>
        <c:scaling>
          <c:orientation val="minMax"/>
          <c:min val="0"/>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b="0" i="0" u="none" strike="noStrike" baseline="0">
                    <a:solidFill>
                      <a:sysClr val="windowText" lastClr="000000"/>
                    </a:solidFill>
                    <a:effectLst/>
                  </a:rPr>
                  <a:t>Concentration (g/L) </a:t>
                </a:r>
                <a:endParaRPr lang="en-US" sz="1400">
                  <a:solidFill>
                    <a:sysClr val="windowText" lastClr="000000"/>
                  </a:solidFill>
                </a:endParaRPr>
              </a:p>
            </c:rich>
          </c:tx>
          <c:layout>
            <c:manualLayout>
              <c:xMode val="edge"/>
              <c:yMode val="edge"/>
              <c:x val="1.7156862745098041E-2"/>
              <c:y val="0.2922013973605411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12813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image" Target="../media/image3.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179602</xdr:colOff>
      <xdr:row>67</xdr:row>
      <xdr:rowOff>53302</xdr:rowOff>
    </xdr:from>
    <xdr:to>
      <xdr:col>6</xdr:col>
      <xdr:colOff>464343</xdr:colOff>
      <xdr:row>82</xdr:row>
      <xdr:rowOff>162474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97632</xdr:colOff>
      <xdr:row>24</xdr:row>
      <xdr:rowOff>80963</xdr:rowOff>
    </xdr:from>
    <xdr:to>
      <xdr:col>4</xdr:col>
      <xdr:colOff>660094</xdr:colOff>
      <xdr:row>50</xdr:row>
      <xdr:rowOff>85109</xdr:rowOff>
    </xdr:to>
    <xdr:grpSp>
      <xdr:nvGrpSpPr>
        <xdr:cNvPr id="12" name="Group 11"/>
        <xdr:cNvGrpSpPr/>
      </xdr:nvGrpSpPr>
      <xdr:grpSpPr>
        <a:xfrm>
          <a:off x="97632" y="4992550"/>
          <a:ext cx="5631419" cy="4957146"/>
          <a:chOff x="4145757" y="1819275"/>
          <a:chExt cx="5616665" cy="4933333"/>
        </a:xfrm>
      </xdr:grpSpPr>
      <xdr:grpSp>
        <xdr:nvGrpSpPr>
          <xdr:cNvPr id="11" name="Group 10"/>
          <xdr:cNvGrpSpPr/>
        </xdr:nvGrpSpPr>
        <xdr:grpSpPr>
          <a:xfrm>
            <a:off x="4145757" y="1819275"/>
            <a:ext cx="5616665" cy="4933333"/>
            <a:chOff x="252413" y="1789509"/>
            <a:chExt cx="5616665" cy="4933333"/>
          </a:xfrm>
        </xdr:grpSpPr>
        <xdr:pic>
          <xdr:nvPicPr>
            <xdr:cNvPr id="6" name="Picture 5"/>
            <xdr:cNvPicPr>
              <a:picLocks noChangeAspect="1"/>
            </xdr:cNvPicPr>
          </xdr:nvPicPr>
          <xdr:blipFill>
            <a:blip xmlns:r="http://schemas.openxmlformats.org/officeDocument/2006/relationships" r:embed="rId2"/>
            <a:stretch>
              <a:fillRect/>
            </a:stretch>
          </xdr:blipFill>
          <xdr:spPr>
            <a:xfrm>
              <a:off x="252413" y="1789509"/>
              <a:ext cx="5616665" cy="4933333"/>
            </a:xfrm>
            <a:prstGeom prst="rect">
              <a:avLst/>
            </a:prstGeom>
            <a:ln>
              <a:solidFill>
                <a:schemeClr val="bg1">
                  <a:lumMod val="75000"/>
                </a:schemeClr>
              </a:solidFill>
            </a:ln>
          </xdr:spPr>
        </xdr:pic>
        <xdr:sp macro="" textlink="">
          <xdr:nvSpPr>
            <xdr:cNvPr id="10" name="TextBox 9"/>
            <xdr:cNvSpPr txBox="1"/>
          </xdr:nvSpPr>
          <xdr:spPr>
            <a:xfrm>
              <a:off x="3821906" y="6518671"/>
              <a:ext cx="1994298" cy="166687"/>
            </a:xfrm>
            <a:prstGeom prst="rect">
              <a:avLst/>
            </a:prstGeom>
            <a:solidFill>
              <a:schemeClr val="lt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Huesemann et al., 2013</a:t>
              </a:r>
            </a:p>
            <a:p>
              <a:pPr algn="r"/>
              <a:endParaRPr lang="en-US" sz="1100"/>
            </a:p>
          </xdr:txBody>
        </xdr:sp>
      </xdr:grpSp>
      <xdr:cxnSp macro="">
        <xdr:nvCxnSpPr>
          <xdr:cNvPr id="8" name="Straight Connector 7"/>
          <xdr:cNvCxnSpPr/>
        </xdr:nvCxnSpPr>
        <xdr:spPr>
          <a:xfrm>
            <a:off x="5319183" y="2555081"/>
            <a:ext cx="0" cy="2981325"/>
          </a:xfrm>
          <a:prstGeom prst="line">
            <a:avLst/>
          </a:prstGeom>
          <a:ln w="28575">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186928</xdr:colOff>
      <xdr:row>52</xdr:row>
      <xdr:rowOff>10699</xdr:rowOff>
    </xdr:from>
    <xdr:to>
      <xdr:col>6</xdr:col>
      <xdr:colOff>458390</xdr:colOff>
      <xdr:row>66</xdr:row>
      <xdr:rowOff>190499</xdr:rowOff>
    </xdr:to>
    <xdr:grpSp>
      <xdr:nvGrpSpPr>
        <xdr:cNvPr id="14" name="Group 13"/>
        <xdr:cNvGrpSpPr/>
      </xdr:nvGrpSpPr>
      <xdr:grpSpPr>
        <a:xfrm>
          <a:off x="3400580" y="10256286"/>
          <a:ext cx="5050527" cy="2888213"/>
          <a:chOff x="11813381" y="201200"/>
          <a:chExt cx="5039916" cy="2882519"/>
        </a:xfrm>
      </xdr:grpSpPr>
      <xdr:pic>
        <xdr:nvPicPr>
          <xdr:cNvPr id="4" name="Picture 3" descr="The relationship between optical density and biomass concentration (triangles), chlorophyll content (circles) and cell number (squares) measured in Chlorella cultures of various biomass densities. All points represent a mean of three measurements. The relationship between optical density and the three variables was linear according to regression equations: y = 1.0287 9 x (R 2 = 0.997) for biomass concentration; y = 28.9 9 x (R 2 = 0.997) for chlorophyll content; y = 0.0304 9 10 12 9 x (R 2 = 0.990) for cell number. These are represented by the common parametric function y = K 9 1.0071 9 OD (SD from the average is also included). The corresponding K values are: K = 1.0287 g L-1 for biomass, K = 28.9 mg L-1 for chlorophyll content and K = 0.0302 9 10 12 cells L-1 for cell count. Per gram of dry weight, the Chlorella cultures contain *30 9 10 12 cells and *28 mg chlorophyll a ? b. The conversion coefficient between optical density (OD 750 ) and dry weight is about 1.03 "/>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13381" y="201200"/>
            <a:ext cx="5039916" cy="288251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sp macro="" textlink="">
        <xdr:nvSpPr>
          <xdr:cNvPr id="13" name="TextBox 12"/>
          <xdr:cNvSpPr txBox="1"/>
        </xdr:nvSpPr>
        <xdr:spPr>
          <a:xfrm>
            <a:off x="14876860" y="2797969"/>
            <a:ext cx="1934765" cy="202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Source: Masojidek et al., 2011</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257175</xdr:colOff>
      <xdr:row>24</xdr:row>
      <xdr:rowOff>85725</xdr:rowOff>
    </xdr:from>
    <xdr:to>
      <xdr:col>5</xdr:col>
      <xdr:colOff>208561</xdr:colOff>
      <xdr:row>45</xdr:row>
      <xdr:rowOff>123320</xdr:rowOff>
    </xdr:to>
    <xdr:pic>
      <xdr:nvPicPr>
        <xdr:cNvPr id="10" name="Picture 9"/>
        <xdr:cNvPicPr>
          <a:picLocks noChangeAspect="1"/>
        </xdr:cNvPicPr>
      </xdr:nvPicPr>
      <xdr:blipFill>
        <a:blip xmlns:r="http://schemas.openxmlformats.org/officeDocument/2006/relationships" r:embed="rId1"/>
        <a:stretch>
          <a:fillRect/>
        </a:stretch>
      </xdr:blipFill>
      <xdr:spPr>
        <a:xfrm>
          <a:off x="257175" y="3028950"/>
          <a:ext cx="7914286" cy="4038095"/>
        </a:xfrm>
        <a:prstGeom prst="rect">
          <a:avLst/>
        </a:prstGeom>
      </xdr:spPr>
    </xdr:pic>
    <xdr:clientData/>
  </xdr:twoCellAnchor>
  <xdr:twoCellAnchor>
    <xdr:from>
      <xdr:col>2</xdr:col>
      <xdr:colOff>213305</xdr:colOff>
      <xdr:row>67</xdr:row>
      <xdr:rowOff>21796</xdr:rowOff>
    </xdr:from>
    <xdr:to>
      <xdr:col>6</xdr:col>
      <xdr:colOff>498046</xdr:colOff>
      <xdr:row>82</xdr:row>
      <xdr:rowOff>159543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847725</xdr:colOff>
      <xdr:row>27</xdr:row>
      <xdr:rowOff>95250</xdr:rowOff>
    </xdr:from>
    <xdr:to>
      <xdr:col>4</xdr:col>
      <xdr:colOff>1919289</xdr:colOff>
      <xdr:row>28</xdr:row>
      <xdr:rowOff>76200</xdr:rowOff>
    </xdr:to>
    <xdr:sp macro="" textlink="">
      <xdr:nvSpPr>
        <xdr:cNvPr id="3" name="TextBox 2"/>
        <xdr:cNvSpPr txBox="1"/>
      </xdr:nvSpPr>
      <xdr:spPr>
        <a:xfrm>
          <a:off x="5829300" y="3609975"/>
          <a:ext cx="2119314" cy="171450"/>
        </a:xfrm>
        <a:prstGeom prst="rect">
          <a:avLst/>
        </a:prstGeom>
        <a:solidFill>
          <a:schemeClr val="lt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Huete-Ortega et al., 2018</a:t>
          </a:r>
        </a:p>
        <a:p>
          <a:pPr algn="r"/>
          <a:endParaRPr lang="en-US" sz="1100"/>
        </a:p>
      </xdr:txBody>
    </xdr:sp>
    <xdr:clientData/>
  </xdr:twoCellAnchor>
  <xdr:twoCellAnchor>
    <xdr:from>
      <xdr:col>2</xdr:col>
      <xdr:colOff>219075</xdr:colOff>
      <xdr:row>50</xdr:row>
      <xdr:rowOff>180975</xdr:rowOff>
    </xdr:from>
    <xdr:to>
      <xdr:col>6</xdr:col>
      <xdr:colOff>523876</xdr:colOff>
      <xdr:row>66</xdr:row>
      <xdr:rowOff>38101</xdr:rowOff>
    </xdr:to>
    <xdr:grpSp>
      <xdr:nvGrpSpPr>
        <xdr:cNvPr id="12" name="Group 11"/>
        <xdr:cNvGrpSpPr/>
      </xdr:nvGrpSpPr>
      <xdr:grpSpPr>
        <a:xfrm>
          <a:off x="4401792" y="10045562"/>
          <a:ext cx="5083867" cy="2946539"/>
          <a:chOff x="4400550" y="7858125"/>
          <a:chExt cx="5076826" cy="2943226"/>
        </a:xfrm>
      </xdr:grpSpPr>
      <xdr:pic>
        <xdr:nvPicPr>
          <xdr:cNvPr id="11" name="Picture 10"/>
          <xdr:cNvPicPr>
            <a:picLocks noChangeAspect="1"/>
          </xdr:cNvPicPr>
        </xdr:nvPicPr>
        <xdr:blipFill>
          <a:blip xmlns:r="http://schemas.openxmlformats.org/officeDocument/2006/relationships" r:embed="rId3"/>
          <a:stretch>
            <a:fillRect/>
          </a:stretch>
        </xdr:blipFill>
        <xdr:spPr>
          <a:xfrm>
            <a:off x="4400550" y="7858125"/>
            <a:ext cx="5076826" cy="2943226"/>
          </a:xfrm>
          <a:prstGeom prst="rect">
            <a:avLst/>
          </a:prstGeom>
          <a:ln>
            <a:solidFill>
              <a:schemeClr val="bg1">
                <a:lumMod val="75000"/>
              </a:schemeClr>
            </a:solidFill>
          </a:ln>
        </xdr:spPr>
      </xdr:pic>
      <xdr:sp macro="" textlink="">
        <xdr:nvSpPr>
          <xdr:cNvPr id="9" name="TextBox 8"/>
          <xdr:cNvSpPr txBox="1"/>
        </xdr:nvSpPr>
        <xdr:spPr>
          <a:xfrm>
            <a:off x="7926266" y="7956306"/>
            <a:ext cx="1452839" cy="212480"/>
          </a:xfrm>
          <a:prstGeom prst="rect">
            <a:avLst/>
          </a:prstGeom>
          <a:solidFill>
            <a:schemeClr val="lt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Lu et al., 2017</a:t>
            </a:r>
          </a:p>
        </xdr:txBody>
      </xdr:sp>
    </xdr:grpSp>
    <xdr:clientData/>
  </xdr:twoCellAnchor>
  <xdr:twoCellAnchor editAs="oneCell">
    <xdr:from>
      <xdr:col>0</xdr:col>
      <xdr:colOff>1747631</xdr:colOff>
      <xdr:row>84</xdr:row>
      <xdr:rowOff>132522</xdr:rowOff>
    </xdr:from>
    <xdr:to>
      <xdr:col>5</xdr:col>
      <xdr:colOff>36904</xdr:colOff>
      <xdr:row>114</xdr:row>
      <xdr:rowOff>141331</xdr:rowOff>
    </xdr:to>
    <xdr:pic>
      <xdr:nvPicPr>
        <xdr:cNvPr id="5" name="Picture 4"/>
        <xdr:cNvPicPr>
          <a:picLocks noChangeAspect="1"/>
        </xdr:cNvPicPr>
      </xdr:nvPicPr>
      <xdr:blipFill>
        <a:blip xmlns:r="http://schemas.openxmlformats.org/officeDocument/2006/relationships" r:embed="rId4"/>
        <a:stretch>
          <a:fillRect/>
        </a:stretch>
      </xdr:blipFill>
      <xdr:spPr>
        <a:xfrm>
          <a:off x="1747631" y="16515522"/>
          <a:ext cx="6257143" cy="5723809"/>
        </a:xfrm>
        <a:prstGeom prst="rect">
          <a:avLst/>
        </a:prstGeom>
        <a:ln>
          <a:solidFill>
            <a:schemeClr val="bg1">
              <a:lumMod val="65000"/>
            </a:schemeClr>
          </a:solidFill>
        </a:ln>
      </xdr:spPr>
    </xdr:pic>
    <xdr:clientData/>
  </xdr:twoCellAnchor>
  <xdr:twoCellAnchor>
    <xdr:from>
      <xdr:col>3</xdr:col>
      <xdr:colOff>339588</xdr:colOff>
      <xdr:row>112</xdr:row>
      <xdr:rowOff>99391</xdr:rowOff>
    </xdr:from>
    <xdr:to>
      <xdr:col>4</xdr:col>
      <xdr:colOff>1411152</xdr:colOff>
      <xdr:row>113</xdr:row>
      <xdr:rowOff>80341</xdr:rowOff>
    </xdr:to>
    <xdr:sp macro="" textlink="">
      <xdr:nvSpPr>
        <xdr:cNvPr id="13" name="TextBox 12"/>
        <xdr:cNvSpPr txBox="1"/>
      </xdr:nvSpPr>
      <xdr:spPr>
        <a:xfrm>
          <a:off x="5325718" y="21816391"/>
          <a:ext cx="2123456" cy="17145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Sandnes et al., 2005</a:t>
          </a:r>
        </a:p>
        <a:p>
          <a:pPr algn="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342899</xdr:colOff>
      <xdr:row>25</xdr:row>
      <xdr:rowOff>142875</xdr:rowOff>
    </xdr:from>
    <xdr:to>
      <xdr:col>6</xdr:col>
      <xdr:colOff>76199</xdr:colOff>
      <xdr:row>48</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1971675</xdr:colOff>
      <xdr:row>50</xdr:row>
      <xdr:rowOff>104775</xdr:rowOff>
    </xdr:from>
    <xdr:to>
      <xdr:col>6</xdr:col>
      <xdr:colOff>418352</xdr:colOff>
      <xdr:row>84</xdr:row>
      <xdr:rowOff>8727</xdr:rowOff>
    </xdr:to>
    <xdr:pic>
      <xdr:nvPicPr>
        <xdr:cNvPr id="3" name="Picture 2"/>
        <xdr:cNvPicPr>
          <a:picLocks noChangeAspect="1"/>
        </xdr:cNvPicPr>
      </xdr:nvPicPr>
      <xdr:blipFill>
        <a:blip xmlns:r="http://schemas.openxmlformats.org/officeDocument/2006/relationships" r:embed="rId2"/>
        <a:stretch>
          <a:fillRect/>
        </a:stretch>
      </xdr:blipFill>
      <xdr:spPr>
        <a:xfrm>
          <a:off x="3114675" y="9915525"/>
          <a:ext cx="5980952" cy="6380952"/>
        </a:xfrm>
        <a:prstGeom prst="rect">
          <a:avLst/>
        </a:prstGeom>
        <a:ln>
          <a:solidFill>
            <a:schemeClr val="bg1">
              <a:lumMod val="75000"/>
            </a:schemeClr>
          </a:solidFill>
        </a:ln>
      </xdr:spPr>
    </xdr:pic>
    <xdr:clientData/>
  </xdr:twoCellAnchor>
  <xdr:twoCellAnchor>
    <xdr:from>
      <xdr:col>4</xdr:col>
      <xdr:colOff>2314576</xdr:colOff>
      <xdr:row>82</xdr:row>
      <xdr:rowOff>104775</xdr:rowOff>
    </xdr:from>
    <xdr:to>
      <xdr:col>6</xdr:col>
      <xdr:colOff>233640</xdr:colOff>
      <xdr:row>83</xdr:row>
      <xdr:rowOff>142875</xdr:rowOff>
    </xdr:to>
    <xdr:sp macro="" textlink="">
      <xdr:nvSpPr>
        <xdr:cNvPr id="4" name="TextBox 3"/>
        <xdr:cNvSpPr txBox="1"/>
      </xdr:nvSpPr>
      <xdr:spPr>
        <a:xfrm>
          <a:off x="7029451" y="16011525"/>
          <a:ext cx="1881464" cy="228600"/>
        </a:xfrm>
        <a:prstGeom prst="rect">
          <a:avLst/>
        </a:prstGeom>
        <a:solidFill>
          <a:schemeClr val="lt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Vanags et al., 2015</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800100</xdr:colOff>
      <xdr:row>50</xdr:row>
      <xdr:rowOff>152400</xdr:rowOff>
    </xdr:from>
    <xdr:ext cx="5800725" cy="4788278"/>
    <xdr:pic>
      <xdr:nvPicPr>
        <xdr:cNvPr id="2" name="Picture 1">
          <a:extLst>
            <a:ext uri="{FF2B5EF4-FFF2-40B4-BE49-F238E27FC236}">
              <a16:creationId xmlns:a16="http://schemas.microsoft.com/office/drawing/2014/main" id="{95A3B463-A760-4BBE-8ADF-26700159A2FD}"/>
            </a:ext>
          </a:extLst>
        </xdr:cNvPr>
        <xdr:cNvPicPr>
          <a:picLocks noChangeAspect="1"/>
        </xdr:cNvPicPr>
      </xdr:nvPicPr>
      <xdr:blipFill>
        <a:blip xmlns:r="http://schemas.openxmlformats.org/officeDocument/2006/relationships" r:embed="rId1"/>
        <a:stretch>
          <a:fillRect/>
        </a:stretch>
      </xdr:blipFill>
      <xdr:spPr>
        <a:xfrm>
          <a:off x="800100" y="9829800"/>
          <a:ext cx="5800725" cy="4788278"/>
        </a:xfrm>
        <a:prstGeom prst="rect">
          <a:avLst/>
        </a:prstGeom>
        <a:ln>
          <a:solidFill>
            <a:schemeClr val="bg1">
              <a:lumMod val="65000"/>
            </a:schemeClr>
          </a:solidFill>
        </a:ln>
      </xdr:spPr>
    </xdr:pic>
    <xdr:clientData/>
  </xdr:oneCellAnchor>
  <xdr:twoCellAnchor>
    <xdr:from>
      <xdr:col>3</xdr:col>
      <xdr:colOff>357187</xdr:colOff>
      <xdr:row>30</xdr:row>
      <xdr:rowOff>0</xdr:rowOff>
    </xdr:from>
    <xdr:to>
      <xdr:col>6</xdr:col>
      <xdr:colOff>438150</xdr:colOff>
      <xdr:row>45</xdr:row>
      <xdr:rowOff>42862</xdr:rowOff>
    </xdr:to>
    <xdr:graphicFrame macro="">
      <xdr:nvGraphicFramePr>
        <xdr:cNvPr id="3" name="Chart 2">
          <a:extLst>
            <a:ext uri="{FF2B5EF4-FFF2-40B4-BE49-F238E27FC236}">
              <a16:creationId xmlns:a16="http://schemas.microsoft.com/office/drawing/2014/main" id="{80EBB0C6-B75A-4EC0-9DAB-AC314DEE9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314325</xdr:colOff>
      <xdr:row>51</xdr:row>
      <xdr:rowOff>57150</xdr:rowOff>
    </xdr:from>
    <xdr:to>
      <xdr:col>2</xdr:col>
      <xdr:colOff>238125</xdr:colOff>
      <xdr:row>52</xdr:row>
      <xdr:rowOff>85726</xdr:rowOff>
    </xdr:to>
    <xdr:sp macro="" textlink="">
      <xdr:nvSpPr>
        <xdr:cNvPr id="4" name="TextBox 3"/>
        <xdr:cNvSpPr txBox="1"/>
      </xdr:nvSpPr>
      <xdr:spPr>
        <a:xfrm>
          <a:off x="2419350" y="9925050"/>
          <a:ext cx="2000250" cy="219076"/>
        </a:xfrm>
        <a:prstGeom prst="rect">
          <a:avLst/>
        </a:prstGeom>
        <a:solidFill>
          <a:schemeClr val="lt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a:t>Source:</a:t>
          </a:r>
          <a:r>
            <a:rPr lang="en-US" sz="1100" baseline="0"/>
            <a:t> Oesterhelt  et al., 2007</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1866900</xdr:colOff>
      <xdr:row>45</xdr:row>
      <xdr:rowOff>38100</xdr:rowOff>
    </xdr:from>
    <xdr:to>
      <xdr:col>6</xdr:col>
      <xdr:colOff>200025</xdr:colOff>
      <xdr:row>66</xdr:row>
      <xdr:rowOff>95250</xdr:rowOff>
    </xdr:to>
    <xdr:graphicFrame macro="">
      <xdr:nvGraphicFramePr>
        <xdr:cNvPr id="2" name="Chart 1">
          <a:extLst>
            <a:ext uri="{FF2B5EF4-FFF2-40B4-BE49-F238E27FC236}">
              <a16:creationId xmlns:a16="http://schemas.microsoft.com/office/drawing/2014/main" id="{BEF950B2-BA87-4BB4-861C-7D53D4D32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1"/>
  <sheetViews>
    <sheetView workbookViewId="0">
      <selection activeCell="M16" sqref="M16"/>
    </sheetView>
  </sheetViews>
  <sheetFormatPr defaultRowHeight="15" x14ac:dyDescent="0.25"/>
  <cols>
    <col min="1" max="1" width="38.28515625" customWidth="1"/>
    <col min="2" max="2" width="27.140625" customWidth="1"/>
    <col min="3" max="3" width="31.42578125" customWidth="1"/>
    <col min="4" max="4" width="18.85546875" customWidth="1"/>
    <col min="5" max="5" width="18.140625" customWidth="1"/>
    <col min="6" max="6" width="13" customWidth="1"/>
    <col min="7" max="7" width="13.5703125" customWidth="1"/>
  </cols>
  <sheetData>
    <row r="1" spans="1:7" ht="47.25" x14ac:dyDescent="0.25">
      <c r="A1" s="81" t="s">
        <v>44</v>
      </c>
      <c r="B1" s="39" t="s">
        <v>95</v>
      </c>
      <c r="C1" s="39" t="s">
        <v>96</v>
      </c>
      <c r="D1" s="41" t="s">
        <v>97</v>
      </c>
      <c r="E1" s="38" t="s">
        <v>45</v>
      </c>
      <c r="F1" s="42" t="s">
        <v>46</v>
      </c>
      <c r="G1" s="40" t="s">
        <v>47</v>
      </c>
    </row>
    <row r="2" spans="1:7" x14ac:dyDescent="0.25">
      <c r="A2" s="4" t="s">
        <v>99</v>
      </c>
      <c r="B2" s="46">
        <f>'Chlorella vulgaris'!C3*4.56</f>
        <v>230</v>
      </c>
      <c r="C2" s="59">
        <f>'Chlorella vulgaris'!C4</f>
        <v>1.0360037699999998</v>
      </c>
      <c r="D2" s="60">
        <f>'Chlorella vulgaris'!C5</f>
        <v>6.8382851286030499E-2</v>
      </c>
      <c r="E2" s="46">
        <f>'Chlorella vulgaris'!C6</f>
        <v>42</v>
      </c>
      <c r="F2" s="46">
        <f>'Chlorella vulgaris'!C7</f>
        <v>5</v>
      </c>
      <c r="G2" s="46">
        <f>'Chlorella vulgaris'!C8</f>
        <v>27</v>
      </c>
    </row>
    <row r="3" spans="1:7" ht="15.75" thickBot="1" x14ac:dyDescent="0.3">
      <c r="A3" s="61" t="s">
        <v>98</v>
      </c>
      <c r="B3" s="62">
        <f>'Chlorella vulgaris'!C14*4.56</f>
        <v>294.11999999999995</v>
      </c>
      <c r="C3" s="63">
        <f>'Chlorella vulgaris'!C15</f>
        <v>0.85</v>
      </c>
      <c r="D3" s="64">
        <f>'Chlorella vulgaris'!C16</f>
        <v>4.4999999999999998E-2</v>
      </c>
      <c r="E3" s="62">
        <f>'Chlorella vulgaris'!C17</f>
        <v>42</v>
      </c>
      <c r="F3" s="62">
        <f>'Chlorella vulgaris'!C18</f>
        <v>5</v>
      </c>
      <c r="G3" s="62">
        <f>'Chlorella vulgaris'!C19</f>
        <v>27.5</v>
      </c>
    </row>
    <row r="4" spans="1:7" x14ac:dyDescent="0.25">
      <c r="A4" s="82" t="s">
        <v>100</v>
      </c>
      <c r="B4" s="83">
        <f>'Nannochloropsis oceanica'!C3*4.56</f>
        <v>278.5</v>
      </c>
      <c r="C4" s="84">
        <f>'Nannochloropsis oceanica'!C4</f>
        <v>0.2842311952472058</v>
      </c>
      <c r="D4" s="85">
        <f>'Nannochloropsis oceanica'!C5</f>
        <v>5.666455012650784E-2</v>
      </c>
      <c r="E4" s="83">
        <f>'Nannochloropsis oceanica'!C6</f>
        <v>35</v>
      </c>
      <c r="F4" s="83">
        <f>'Nannochloropsis oceanica'!C7</f>
        <v>3</v>
      </c>
      <c r="G4" s="83">
        <f>'Nannochloropsis oceanica'!C8</f>
        <v>28</v>
      </c>
    </row>
    <row r="5" spans="1:7" ht="15.75" thickBot="1" x14ac:dyDescent="0.3">
      <c r="A5" s="86" t="s">
        <v>101</v>
      </c>
      <c r="B5" s="87">
        <f>'Nannochloropsis oceanica'!C14*4.56</f>
        <v>250.8</v>
      </c>
      <c r="C5" s="88">
        <f>'Nannochloropsis oceanica'!C15</f>
        <v>0.28000000000000003</v>
      </c>
      <c r="D5" s="87">
        <f>'Nannochloropsis oceanica'!C17</f>
        <v>32.5</v>
      </c>
      <c r="E5" s="87">
        <f>'Nannochloropsis oceanica'!C17</f>
        <v>32.5</v>
      </c>
      <c r="F5" s="87">
        <f>'Nannochloropsis oceanica'!C18</f>
        <v>3</v>
      </c>
      <c r="G5" s="87">
        <f>'Nannochloropsis oceanica'!C19</f>
        <v>28</v>
      </c>
    </row>
    <row r="6" spans="1:7" x14ac:dyDescent="0.25">
      <c r="A6" s="70" t="s">
        <v>103</v>
      </c>
      <c r="B6" s="66">
        <f>'Desmodesmus intermedius'!C3*4.56</f>
        <v>265</v>
      </c>
      <c r="C6" s="67">
        <f>'Desmodesmus intermedius'!C4</f>
        <v>0.44395514062591745</v>
      </c>
      <c r="D6" s="68">
        <f>'Desmodesmus intermedius'!C5</f>
        <v>6.7994596593289103E-2</v>
      </c>
      <c r="E6" s="66">
        <f>'Desmodesmus intermedius'!C6</f>
        <v>50</v>
      </c>
      <c r="F6" s="66">
        <f>'Desmodesmus intermedius'!C7</f>
        <v>5</v>
      </c>
      <c r="G6" s="66">
        <f>'Desmodesmus intermedius'!C8</f>
        <v>30</v>
      </c>
    </row>
    <row r="7" spans="1:7" ht="15.75" thickBot="1" x14ac:dyDescent="0.3">
      <c r="A7" s="69" t="s">
        <v>102</v>
      </c>
      <c r="B7" s="62">
        <f>'Desmodesmus intermedius'!C14*4.56</f>
        <v>287.27999999999997</v>
      </c>
      <c r="C7" s="63">
        <f>'Desmodesmus intermedius'!C15</f>
        <v>0.55000000000000004</v>
      </c>
      <c r="D7" s="64">
        <f>'Desmodesmus intermedius'!C16</f>
        <v>0.08</v>
      </c>
      <c r="E7" s="62">
        <f>'Desmodesmus intermedius'!C17</f>
        <v>50</v>
      </c>
      <c r="F7" s="62">
        <f>'Desmodesmus intermedius'!C18</f>
        <v>5</v>
      </c>
      <c r="G7" s="62">
        <f>'Desmodesmus intermedius'!C19</f>
        <v>31</v>
      </c>
    </row>
    <row r="8" spans="1:7" x14ac:dyDescent="0.25">
      <c r="A8" s="82" t="s">
        <v>120</v>
      </c>
      <c r="B8" s="83">
        <f>'Galdieria sulphuraria 5587.1'!C3*4.56</f>
        <v>230</v>
      </c>
      <c r="C8" s="84">
        <f>'Galdieria sulphuraria 5587.1'!C4</f>
        <v>0.4</v>
      </c>
      <c r="D8" s="85">
        <f>'Galdieria sulphuraria 5587.1'!C5</f>
        <v>6.7994596593289103E-2</v>
      </c>
      <c r="E8" s="83">
        <f>'Galdieria sulphuraria 5587.1'!C6</f>
        <v>56</v>
      </c>
      <c r="F8" s="83">
        <f>'Galdieria sulphuraria 5587.1'!C7</f>
        <v>10</v>
      </c>
      <c r="G8" s="83">
        <f>'Galdieria sulphuraria 5587.1'!C8</f>
        <v>43</v>
      </c>
    </row>
    <row r="9" spans="1:7" ht="15.75" thickBot="1" x14ac:dyDescent="0.3">
      <c r="A9" s="86" t="s">
        <v>122</v>
      </c>
      <c r="B9" s="87">
        <f>'Galdieria sulphuraria 5587.1'!C14*4.56</f>
        <v>200</v>
      </c>
      <c r="C9" s="87">
        <f>'Galdieria sulphuraria Soos'!C15</f>
        <v>0.48</v>
      </c>
      <c r="D9" s="89">
        <f>'Galdieria sulphuraria 5587.1'!C16</f>
        <v>0.12</v>
      </c>
      <c r="E9" s="87">
        <f>'Galdieria sulphuraria 5587.1'!C17</f>
        <v>56</v>
      </c>
      <c r="F9" s="87">
        <f>'Galdieria sulphuraria 5587.1'!C18</f>
        <v>10</v>
      </c>
      <c r="G9" s="87">
        <f>'Galdieria sulphuraria 5587.1'!C19</f>
        <v>43</v>
      </c>
    </row>
    <row r="10" spans="1:7" x14ac:dyDescent="0.25">
      <c r="A10" s="65" t="s">
        <v>123</v>
      </c>
      <c r="B10" s="66">
        <f>'Galdieria sulphuraria Soos'!C3*4.56</f>
        <v>230</v>
      </c>
      <c r="C10" s="67">
        <f>'Galdieria sulphuraria Soos'!C4</f>
        <v>0.44</v>
      </c>
      <c r="D10" s="68">
        <f>'Galdieria sulphuraria Soos'!C5</f>
        <v>6.7994596593289103E-2</v>
      </c>
      <c r="E10" s="66">
        <f>'Galdieria sulphuraria Soos'!C6</f>
        <v>47</v>
      </c>
      <c r="F10" s="66">
        <f>'Galdieria sulphuraria Soos'!C7</f>
        <v>10</v>
      </c>
      <c r="G10" s="66">
        <f>'Galdieria sulphuraria Soos'!C8</f>
        <v>35</v>
      </c>
    </row>
    <row r="11" spans="1:7" x14ac:dyDescent="0.25">
      <c r="A11" s="4" t="s">
        <v>121</v>
      </c>
      <c r="B11" s="46">
        <f>'Galdieria sulphuraria Soos'!C14*4.56</f>
        <v>270</v>
      </c>
      <c r="C11" s="46">
        <f>'Galdieria sulphuraria Soos'!C15</f>
        <v>0.48</v>
      </c>
      <c r="D11" s="60">
        <f>'Galdieria sulphuraria Soos'!C16</f>
        <v>0.02</v>
      </c>
      <c r="E11" s="46">
        <f>'Galdieria sulphuraria Soos'!C17</f>
        <v>47</v>
      </c>
      <c r="F11" s="46">
        <f>'Galdieria sulphuraria Soos'!C18</f>
        <v>10</v>
      </c>
      <c r="G11" s="46">
        <f>'Galdieria sulphuraria Soos'!C19</f>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B108"/>
  <sheetViews>
    <sheetView topLeftCell="A70" zoomScale="115" zoomScaleNormal="115" workbookViewId="0">
      <selection activeCell="B1" sqref="B1"/>
    </sheetView>
  </sheetViews>
  <sheetFormatPr defaultRowHeight="15" x14ac:dyDescent="0.25"/>
  <cols>
    <col min="1" max="1" width="17" customWidth="1"/>
    <col min="2" max="2" width="31.140625" bestFit="1" customWidth="1"/>
    <col min="3" max="3" width="12" customWidth="1"/>
    <col min="4" max="4" width="15.7109375" customWidth="1"/>
    <col min="5" max="5" width="29" customWidth="1"/>
    <col min="6" max="6" width="14.85546875" customWidth="1"/>
    <col min="7" max="7" width="11" customWidth="1"/>
    <col min="8" max="8" width="58.5703125" customWidth="1"/>
    <col min="14" max="14" width="21" bestFit="1" customWidth="1"/>
    <col min="15" max="15" width="13.7109375" bestFit="1" customWidth="1"/>
    <col min="16" max="16" width="14.140625" bestFit="1" customWidth="1"/>
  </cols>
  <sheetData>
    <row r="1" spans="1:28" x14ac:dyDescent="0.25">
      <c r="A1" s="2" t="s">
        <v>0</v>
      </c>
      <c r="B1" s="20" t="s">
        <v>64</v>
      </c>
    </row>
    <row r="2" spans="1:28" x14ac:dyDescent="0.25">
      <c r="A2" s="3" t="s">
        <v>4</v>
      </c>
      <c r="B2" s="3" t="s">
        <v>1</v>
      </c>
      <c r="C2" s="3" t="s">
        <v>2</v>
      </c>
      <c r="D2" s="3" t="s">
        <v>3</v>
      </c>
      <c r="E2" s="3" t="s">
        <v>27</v>
      </c>
      <c r="F2" s="3" t="s">
        <v>28</v>
      </c>
      <c r="G2" s="3" t="s">
        <v>3</v>
      </c>
      <c r="H2" s="3" t="s">
        <v>65</v>
      </c>
    </row>
    <row r="3" spans="1:28" ht="17.25" x14ac:dyDescent="0.25">
      <c r="A3" s="4" t="s">
        <v>5</v>
      </c>
      <c r="B3" s="4" t="s">
        <v>6</v>
      </c>
      <c r="C3" s="5">
        <f>230/4.56</f>
        <v>50.438596491228076</v>
      </c>
      <c r="D3" s="6" t="s">
        <v>9</v>
      </c>
      <c r="E3" s="6" t="s">
        <v>7</v>
      </c>
      <c r="F3" s="4">
        <v>230</v>
      </c>
      <c r="G3" s="6" t="s">
        <v>8</v>
      </c>
      <c r="H3" s="43" t="s">
        <v>49</v>
      </c>
    </row>
    <row r="4" spans="1:28" ht="18" x14ac:dyDescent="0.35">
      <c r="A4" s="4" t="s">
        <v>11</v>
      </c>
      <c r="B4" s="4" t="s">
        <v>10</v>
      </c>
      <c r="C4" s="5">
        <f>SLOPE(B54:B59,A54:A59)</f>
        <v>1.0360037699999998</v>
      </c>
      <c r="D4" s="4" t="s">
        <v>39</v>
      </c>
      <c r="E4" s="4" t="s">
        <v>22</v>
      </c>
      <c r="F4" s="90" t="s">
        <v>105</v>
      </c>
      <c r="G4" s="91"/>
      <c r="H4" s="4" t="s">
        <v>52</v>
      </c>
    </row>
    <row r="5" spans="1:28" ht="30" x14ac:dyDescent="0.25">
      <c r="A5" s="8" t="s">
        <v>13</v>
      </c>
      <c r="B5" s="4" t="s">
        <v>26</v>
      </c>
      <c r="C5" s="7">
        <f>1-EXP(F5*(10/24))</f>
        <v>6.8382851286030499E-2</v>
      </c>
      <c r="D5" s="4" t="s">
        <v>14</v>
      </c>
      <c r="E5" s="6" t="s">
        <v>7</v>
      </c>
      <c r="F5" s="4">
        <v>-0.17</v>
      </c>
      <c r="G5" s="4" t="s">
        <v>15</v>
      </c>
      <c r="H5" s="44" t="s">
        <v>54</v>
      </c>
    </row>
    <row r="6" spans="1:28" x14ac:dyDescent="0.25">
      <c r="A6" s="92" t="s">
        <v>12</v>
      </c>
      <c r="B6" s="4" t="s">
        <v>16</v>
      </c>
      <c r="C6" s="4">
        <v>42</v>
      </c>
      <c r="D6" s="4" t="s">
        <v>23</v>
      </c>
      <c r="E6" s="4" t="s">
        <v>61</v>
      </c>
      <c r="F6" s="4">
        <v>42</v>
      </c>
      <c r="G6" s="4" t="s">
        <v>23</v>
      </c>
      <c r="H6" s="4" t="s">
        <v>53</v>
      </c>
    </row>
    <row r="7" spans="1:28" x14ac:dyDescent="0.25">
      <c r="A7" s="92"/>
      <c r="B7" s="4" t="s">
        <v>17</v>
      </c>
      <c r="C7" s="4">
        <v>5</v>
      </c>
      <c r="D7" s="4" t="s">
        <v>23</v>
      </c>
      <c r="E7" s="4" t="s">
        <v>24</v>
      </c>
      <c r="F7" s="4">
        <v>5</v>
      </c>
      <c r="G7" s="4" t="s">
        <v>23</v>
      </c>
      <c r="H7" s="4" t="s">
        <v>55</v>
      </c>
    </row>
    <row r="8" spans="1:28" x14ac:dyDescent="0.25">
      <c r="A8" s="93"/>
      <c r="B8" s="4" t="s">
        <v>18</v>
      </c>
      <c r="C8" s="4">
        <v>27</v>
      </c>
      <c r="D8" s="4" t="s">
        <v>23</v>
      </c>
      <c r="E8" s="4" t="s">
        <v>25</v>
      </c>
      <c r="F8" s="4">
        <v>27</v>
      </c>
      <c r="G8" s="4" t="s">
        <v>23</v>
      </c>
      <c r="H8" s="4" t="s">
        <v>56</v>
      </c>
    </row>
    <row r="12" spans="1:28" x14ac:dyDescent="0.25">
      <c r="A12" s="101" t="s">
        <v>57</v>
      </c>
      <c r="B12" s="101"/>
      <c r="C12" s="101"/>
      <c r="D12" s="101"/>
      <c r="V12" s="31"/>
      <c r="W12" s="31"/>
      <c r="X12" s="31"/>
      <c r="Y12" s="31"/>
      <c r="Z12" s="31"/>
      <c r="AA12" s="31"/>
      <c r="AB12" s="31"/>
    </row>
    <row r="13" spans="1:28" x14ac:dyDescent="0.25">
      <c r="A13" s="3" t="s">
        <v>4</v>
      </c>
      <c r="B13" s="3" t="s">
        <v>1</v>
      </c>
      <c r="C13" s="3" t="s">
        <v>2</v>
      </c>
      <c r="D13" s="3" t="s">
        <v>3</v>
      </c>
      <c r="V13" s="31"/>
      <c r="W13" s="31"/>
      <c r="X13" s="31"/>
      <c r="Y13" s="31"/>
      <c r="Z13" s="31"/>
      <c r="AA13" s="31"/>
      <c r="AB13" s="31"/>
    </row>
    <row r="14" spans="1:28" ht="17.25" x14ac:dyDescent="0.25">
      <c r="A14" s="4" t="s">
        <v>5</v>
      </c>
      <c r="B14" s="4" t="s">
        <v>6</v>
      </c>
      <c r="C14" s="5">
        <f>294.12/4.56</f>
        <v>64.5</v>
      </c>
      <c r="D14" s="6" t="s">
        <v>9</v>
      </c>
      <c r="V14" s="31"/>
      <c r="W14" s="31"/>
      <c r="X14" s="31"/>
      <c r="Y14" s="31"/>
      <c r="Z14" s="31"/>
      <c r="AA14" s="31"/>
      <c r="AB14" s="31"/>
    </row>
    <row r="15" spans="1:28" ht="18" x14ac:dyDescent="0.35">
      <c r="A15" s="4" t="s">
        <v>11</v>
      </c>
      <c r="B15" s="4" t="s">
        <v>10</v>
      </c>
      <c r="C15" s="5">
        <v>0.85</v>
      </c>
      <c r="D15" s="4" t="s">
        <v>21</v>
      </c>
      <c r="V15" s="31"/>
      <c r="W15" s="31"/>
      <c r="X15" s="31"/>
      <c r="Y15" s="31"/>
      <c r="Z15" s="31"/>
      <c r="AA15" s="31"/>
      <c r="AB15" s="31"/>
    </row>
    <row r="16" spans="1:28" x14ac:dyDescent="0.25">
      <c r="A16" s="45" t="s">
        <v>13</v>
      </c>
      <c r="B16" s="4" t="s">
        <v>26</v>
      </c>
      <c r="C16" s="7">
        <v>4.4999999999999998E-2</v>
      </c>
      <c r="D16" s="4" t="s">
        <v>14</v>
      </c>
      <c r="V16" s="31"/>
      <c r="W16" s="31"/>
      <c r="X16" s="31"/>
      <c r="Y16" s="31"/>
      <c r="Z16" s="31"/>
      <c r="AA16" s="31"/>
      <c r="AB16" s="31"/>
    </row>
    <row r="17" spans="1:28" x14ac:dyDescent="0.25">
      <c r="A17" s="102" t="s">
        <v>12</v>
      </c>
      <c r="B17" s="4" t="s">
        <v>16</v>
      </c>
      <c r="C17" s="4">
        <v>42</v>
      </c>
      <c r="D17" s="4" t="s">
        <v>23</v>
      </c>
      <c r="V17" s="31"/>
      <c r="W17" s="31"/>
      <c r="X17" s="31"/>
      <c r="Y17" s="31"/>
      <c r="Z17" s="31"/>
      <c r="AA17" s="31"/>
      <c r="AB17" s="31"/>
    </row>
    <row r="18" spans="1:28" x14ac:dyDescent="0.25">
      <c r="A18" s="102"/>
      <c r="B18" s="4" t="s">
        <v>17</v>
      </c>
      <c r="C18" s="4">
        <v>5</v>
      </c>
      <c r="D18" s="4" t="s">
        <v>23</v>
      </c>
      <c r="V18" s="31"/>
      <c r="W18" s="31"/>
      <c r="X18" s="31"/>
      <c r="Y18" s="31"/>
      <c r="Z18" s="31"/>
      <c r="AA18" s="31"/>
      <c r="AB18" s="31"/>
    </row>
    <row r="19" spans="1:28" x14ac:dyDescent="0.25">
      <c r="A19" s="102"/>
      <c r="B19" s="4" t="s">
        <v>18</v>
      </c>
      <c r="C19" s="4">
        <v>27.5</v>
      </c>
      <c r="D19" s="4" t="s">
        <v>23</v>
      </c>
      <c r="V19" s="31"/>
      <c r="W19" s="31"/>
      <c r="X19" s="31"/>
      <c r="Y19" s="31"/>
      <c r="Z19" s="31"/>
      <c r="AA19" s="31"/>
      <c r="AB19" s="31"/>
    </row>
    <row r="20" spans="1:28" x14ac:dyDescent="0.25">
      <c r="V20" s="31"/>
      <c r="W20" s="31"/>
      <c r="X20" s="31"/>
      <c r="Y20" s="31"/>
      <c r="Z20" s="31"/>
      <c r="AA20" s="31"/>
      <c r="AB20" s="31"/>
    </row>
    <row r="21" spans="1:28" x14ac:dyDescent="0.25">
      <c r="V21" s="31"/>
      <c r="W21" s="31"/>
      <c r="X21" s="31"/>
      <c r="Y21" s="31"/>
      <c r="Z21" s="31"/>
      <c r="AA21" s="31"/>
      <c r="AB21" s="31"/>
    </row>
    <row r="23" spans="1:28" ht="15.75" thickBot="1" x14ac:dyDescent="0.3"/>
    <row r="24" spans="1:28" ht="15.75" thickBot="1" x14ac:dyDescent="0.3">
      <c r="A24" s="94" t="s">
        <v>29</v>
      </c>
      <c r="B24" s="95"/>
      <c r="C24" s="95"/>
      <c r="D24" s="95"/>
      <c r="E24" s="95"/>
      <c r="F24" s="95"/>
      <c r="G24" s="96"/>
    </row>
    <row r="25" spans="1:28" x14ac:dyDescent="0.25">
      <c r="A25" s="9"/>
      <c r="B25" s="10"/>
      <c r="C25" s="10"/>
      <c r="D25" s="10"/>
      <c r="E25" s="10"/>
      <c r="F25" s="10"/>
      <c r="G25" s="11"/>
    </row>
    <row r="26" spans="1:28" x14ac:dyDescent="0.25">
      <c r="A26" s="12"/>
      <c r="B26" s="13"/>
      <c r="C26" s="13"/>
      <c r="D26" s="13"/>
      <c r="E26" s="13"/>
      <c r="F26" s="13"/>
      <c r="G26" s="14"/>
    </row>
    <row r="27" spans="1:28" x14ac:dyDescent="0.25">
      <c r="A27" s="12"/>
      <c r="B27" s="13"/>
      <c r="C27" s="13"/>
      <c r="D27" s="13"/>
      <c r="E27" s="13"/>
      <c r="F27" s="13"/>
      <c r="G27" s="14"/>
    </row>
    <row r="28" spans="1:28" x14ac:dyDescent="0.25">
      <c r="A28" s="12"/>
      <c r="B28" s="13"/>
      <c r="C28" s="13"/>
      <c r="D28" s="13"/>
      <c r="E28" s="13"/>
      <c r="F28" s="13"/>
      <c r="G28" s="14"/>
    </row>
    <row r="29" spans="1:28" x14ac:dyDescent="0.25">
      <c r="A29" s="12"/>
      <c r="B29" s="13"/>
      <c r="C29" s="13"/>
      <c r="D29" s="13"/>
      <c r="E29" s="13"/>
      <c r="F29" s="13"/>
      <c r="G29" s="14"/>
      <c r="R29" s="1"/>
    </row>
    <row r="30" spans="1:28" x14ac:dyDescent="0.25">
      <c r="A30" s="12"/>
      <c r="B30" s="13"/>
      <c r="C30" s="13"/>
      <c r="D30" s="13"/>
      <c r="E30" s="13"/>
      <c r="F30" s="13"/>
      <c r="G30" s="14"/>
    </row>
    <row r="31" spans="1:28" x14ac:dyDescent="0.25">
      <c r="A31" s="12"/>
      <c r="B31" s="13"/>
      <c r="C31" s="13"/>
      <c r="D31" s="13"/>
      <c r="E31" s="13"/>
      <c r="F31" s="13"/>
      <c r="G31" s="14"/>
    </row>
    <row r="32" spans="1:28" x14ac:dyDescent="0.25">
      <c r="A32" s="12"/>
      <c r="B32" s="13"/>
      <c r="C32" s="13"/>
      <c r="D32" s="13"/>
      <c r="E32" s="13"/>
      <c r="F32" s="13"/>
      <c r="G32" s="14"/>
    </row>
    <row r="33" spans="1:7" x14ac:dyDescent="0.25">
      <c r="A33" s="12"/>
      <c r="B33" s="13"/>
      <c r="C33" s="13"/>
      <c r="D33" s="13"/>
      <c r="E33" s="13"/>
      <c r="F33" s="13"/>
      <c r="G33" s="14"/>
    </row>
    <row r="34" spans="1:7" x14ac:dyDescent="0.25">
      <c r="A34" s="12"/>
      <c r="B34" s="13"/>
      <c r="C34" s="13"/>
      <c r="D34" s="13"/>
      <c r="E34" s="13"/>
      <c r="F34" s="13"/>
      <c r="G34" s="14"/>
    </row>
    <row r="35" spans="1:7" x14ac:dyDescent="0.25">
      <c r="A35" s="12"/>
      <c r="B35" s="13"/>
      <c r="C35" s="13"/>
      <c r="D35" s="13"/>
      <c r="E35" s="13"/>
      <c r="F35" s="13"/>
      <c r="G35" s="14"/>
    </row>
    <row r="36" spans="1:7" x14ac:dyDescent="0.25">
      <c r="A36" s="12"/>
      <c r="B36" s="13"/>
      <c r="C36" s="13"/>
      <c r="D36" s="13"/>
      <c r="E36" s="13"/>
      <c r="F36" s="13"/>
      <c r="G36" s="14"/>
    </row>
    <row r="37" spans="1:7" x14ac:dyDescent="0.25">
      <c r="A37" s="12"/>
      <c r="B37" s="13"/>
      <c r="C37" s="13"/>
      <c r="D37" s="13"/>
      <c r="E37" s="13"/>
      <c r="F37" s="13"/>
      <c r="G37" s="14"/>
    </row>
    <row r="38" spans="1:7" x14ac:dyDescent="0.25">
      <c r="A38" s="12"/>
      <c r="B38" s="13"/>
      <c r="C38" s="13"/>
      <c r="D38" s="13"/>
      <c r="E38" s="13"/>
      <c r="F38" s="13"/>
      <c r="G38" s="14"/>
    </row>
    <row r="39" spans="1:7" x14ac:dyDescent="0.25">
      <c r="A39" s="12"/>
      <c r="B39" s="13"/>
      <c r="C39" s="13"/>
      <c r="D39" s="13"/>
      <c r="E39" s="13"/>
      <c r="F39" s="13"/>
      <c r="G39" s="14"/>
    </row>
    <row r="40" spans="1:7" x14ac:dyDescent="0.25">
      <c r="A40" s="12"/>
      <c r="B40" s="13"/>
      <c r="C40" s="13"/>
      <c r="D40" s="13"/>
      <c r="E40" s="13"/>
      <c r="F40" s="13"/>
      <c r="G40" s="14"/>
    </row>
    <row r="41" spans="1:7" x14ac:dyDescent="0.25">
      <c r="A41" s="12"/>
      <c r="B41" s="13"/>
      <c r="C41" s="13"/>
      <c r="D41" s="13"/>
      <c r="E41" s="13"/>
      <c r="F41" s="13"/>
      <c r="G41" s="14"/>
    </row>
    <row r="42" spans="1:7" x14ac:dyDescent="0.25">
      <c r="A42" s="12"/>
      <c r="B42" s="13"/>
      <c r="C42" s="13"/>
      <c r="D42" s="13"/>
      <c r="E42" s="13"/>
      <c r="F42" s="13"/>
      <c r="G42" s="14"/>
    </row>
    <row r="43" spans="1:7" x14ac:dyDescent="0.25">
      <c r="A43" s="12"/>
      <c r="B43" s="13"/>
      <c r="C43" s="13"/>
      <c r="D43" s="13"/>
      <c r="E43" s="13"/>
      <c r="F43" s="13"/>
      <c r="G43" s="14"/>
    </row>
    <row r="44" spans="1:7" x14ac:dyDescent="0.25">
      <c r="A44" s="12"/>
      <c r="B44" s="13"/>
      <c r="C44" s="13"/>
      <c r="D44" s="13"/>
      <c r="E44" s="13"/>
      <c r="F44" s="13"/>
      <c r="G44" s="14"/>
    </row>
    <row r="45" spans="1:7" x14ac:dyDescent="0.25">
      <c r="A45" s="12"/>
      <c r="B45" s="13"/>
      <c r="C45" s="13"/>
      <c r="D45" s="13"/>
      <c r="E45" s="13"/>
      <c r="F45" s="13"/>
      <c r="G45" s="14"/>
    </row>
    <row r="46" spans="1:7" x14ac:dyDescent="0.25">
      <c r="A46" s="12"/>
      <c r="B46" s="13"/>
      <c r="C46" s="13"/>
      <c r="D46" s="13"/>
      <c r="E46" s="13"/>
      <c r="F46" s="13"/>
      <c r="G46" s="14"/>
    </row>
    <row r="47" spans="1:7" x14ac:dyDescent="0.25">
      <c r="A47" s="12"/>
      <c r="B47" s="13"/>
      <c r="C47" s="13"/>
      <c r="D47" s="13"/>
      <c r="E47" s="13"/>
      <c r="F47" s="13"/>
      <c r="G47" s="14"/>
    </row>
    <row r="48" spans="1:7" x14ac:dyDescent="0.25">
      <c r="A48" s="12"/>
      <c r="B48" s="13"/>
      <c r="C48" s="13"/>
      <c r="D48" s="13"/>
      <c r="E48" s="13"/>
      <c r="F48" s="13"/>
      <c r="G48" s="14"/>
    </row>
    <row r="49" spans="1:7" x14ac:dyDescent="0.25">
      <c r="A49" s="12"/>
      <c r="B49" s="13"/>
      <c r="C49" s="13"/>
      <c r="D49" s="13"/>
      <c r="E49" s="13"/>
      <c r="F49" s="13"/>
      <c r="G49" s="14"/>
    </row>
    <row r="50" spans="1:7" x14ac:dyDescent="0.25">
      <c r="A50" s="12"/>
      <c r="B50" s="13"/>
      <c r="C50" s="13"/>
      <c r="D50" s="13"/>
      <c r="E50" s="13"/>
      <c r="F50" s="13"/>
      <c r="G50" s="14"/>
    </row>
    <row r="51" spans="1:7" x14ac:dyDescent="0.25">
      <c r="A51" s="12"/>
      <c r="B51" s="13"/>
      <c r="C51" s="13"/>
      <c r="D51" s="13"/>
      <c r="E51" s="13"/>
      <c r="F51" s="13"/>
      <c r="G51" s="14"/>
    </row>
    <row r="52" spans="1:7" x14ac:dyDescent="0.25">
      <c r="A52" s="12"/>
      <c r="B52" s="13"/>
      <c r="C52" s="13"/>
      <c r="D52" s="13"/>
      <c r="E52" s="13"/>
      <c r="F52" s="13"/>
      <c r="G52" s="14"/>
    </row>
    <row r="53" spans="1:7" ht="18" x14ac:dyDescent="0.35">
      <c r="A53" s="18" t="s">
        <v>19</v>
      </c>
      <c r="B53" s="3" t="s">
        <v>20</v>
      </c>
      <c r="C53" s="13"/>
      <c r="D53" s="13"/>
      <c r="E53" s="13"/>
      <c r="F53" s="13"/>
      <c r="G53" s="14"/>
    </row>
    <row r="54" spans="1:7" x14ac:dyDescent="0.25">
      <c r="A54" s="19">
        <v>0</v>
      </c>
      <c r="B54" s="5">
        <f>1.0287*1.0071*A54</f>
        <v>0</v>
      </c>
      <c r="C54" s="13"/>
      <c r="D54" s="13"/>
      <c r="E54" s="13"/>
      <c r="F54" s="13"/>
      <c r="G54" s="14"/>
    </row>
    <row r="55" spans="1:7" x14ac:dyDescent="0.25">
      <c r="A55" s="19">
        <v>10</v>
      </c>
      <c r="B55" s="5">
        <f t="shared" ref="B55:B59" si="0">1.0287*1.0071*A55</f>
        <v>10.360037699999999</v>
      </c>
      <c r="C55" s="13"/>
      <c r="D55" s="13"/>
      <c r="E55" s="13"/>
      <c r="F55" s="13"/>
      <c r="G55" s="14"/>
    </row>
    <row r="56" spans="1:7" x14ac:dyDescent="0.25">
      <c r="A56" s="19">
        <v>20</v>
      </c>
      <c r="B56" s="5">
        <f t="shared" si="0"/>
        <v>20.720075399999999</v>
      </c>
      <c r="C56" s="13"/>
      <c r="D56" s="13"/>
      <c r="E56" s="13"/>
      <c r="F56" s="13"/>
      <c r="G56" s="14"/>
    </row>
    <row r="57" spans="1:7" x14ac:dyDescent="0.25">
      <c r="A57" s="19">
        <v>30</v>
      </c>
      <c r="B57" s="5">
        <f t="shared" si="0"/>
        <v>31.080113099999998</v>
      </c>
      <c r="C57" s="13"/>
      <c r="D57" s="13"/>
      <c r="E57" s="13"/>
      <c r="F57" s="13"/>
      <c r="G57" s="14"/>
    </row>
    <row r="58" spans="1:7" x14ac:dyDescent="0.25">
      <c r="A58" s="19">
        <v>40</v>
      </c>
      <c r="B58" s="5">
        <f t="shared" si="0"/>
        <v>41.440150799999998</v>
      </c>
      <c r="C58" s="13"/>
      <c r="D58" s="13"/>
      <c r="E58" s="13"/>
      <c r="F58" s="13"/>
      <c r="G58" s="14"/>
    </row>
    <row r="59" spans="1:7" x14ac:dyDescent="0.25">
      <c r="A59" s="19">
        <v>50</v>
      </c>
      <c r="B59" s="5">
        <f t="shared" si="0"/>
        <v>51.800188499999997</v>
      </c>
      <c r="C59" s="13"/>
      <c r="D59" s="13"/>
      <c r="E59" s="13"/>
      <c r="F59" s="13"/>
      <c r="G59" s="14"/>
    </row>
    <row r="60" spans="1:7" x14ac:dyDescent="0.25">
      <c r="A60" s="12"/>
      <c r="B60" s="13"/>
      <c r="C60" s="13"/>
      <c r="D60" s="13"/>
      <c r="E60" s="13"/>
      <c r="F60" s="13"/>
      <c r="G60" s="14"/>
    </row>
    <row r="61" spans="1:7" x14ac:dyDescent="0.25">
      <c r="A61" s="12"/>
      <c r="B61" s="13"/>
      <c r="C61" s="13"/>
      <c r="D61" s="13"/>
      <c r="E61" s="13"/>
      <c r="F61" s="13"/>
      <c r="G61" s="14"/>
    </row>
    <row r="62" spans="1:7" x14ac:dyDescent="0.25">
      <c r="A62" s="12"/>
      <c r="B62" s="13"/>
      <c r="C62" s="13"/>
      <c r="D62" s="13"/>
      <c r="E62" s="13"/>
      <c r="F62" s="13"/>
      <c r="G62" s="14"/>
    </row>
    <row r="63" spans="1:7" x14ac:dyDescent="0.25">
      <c r="A63" s="12"/>
      <c r="B63" s="13"/>
      <c r="C63" s="13"/>
      <c r="D63" s="13"/>
      <c r="E63" s="13"/>
      <c r="F63" s="13"/>
      <c r="G63" s="14"/>
    </row>
    <row r="64" spans="1:7" x14ac:dyDescent="0.25">
      <c r="A64" s="12"/>
      <c r="B64" s="13"/>
      <c r="C64" s="13"/>
      <c r="D64" s="13"/>
      <c r="E64" s="13"/>
      <c r="F64" s="13"/>
      <c r="G64" s="14"/>
    </row>
    <row r="65" spans="1:7" x14ac:dyDescent="0.25">
      <c r="A65" s="12"/>
      <c r="B65" s="13"/>
      <c r="C65" s="13"/>
      <c r="D65" s="13"/>
      <c r="E65" s="13"/>
      <c r="F65" s="13"/>
      <c r="G65" s="14"/>
    </row>
    <row r="66" spans="1:7" x14ac:dyDescent="0.25">
      <c r="A66" s="12"/>
      <c r="B66" s="13"/>
      <c r="C66" s="13"/>
      <c r="D66" s="13"/>
      <c r="E66" s="13"/>
      <c r="F66" s="13"/>
      <c r="G66" s="14"/>
    </row>
    <row r="67" spans="1:7" x14ac:dyDescent="0.25">
      <c r="A67" s="12"/>
      <c r="B67" s="13"/>
      <c r="C67" s="13"/>
      <c r="D67" s="13"/>
      <c r="E67" s="13"/>
      <c r="F67" s="13"/>
      <c r="G67" s="14"/>
    </row>
    <row r="68" spans="1:7" x14ac:dyDescent="0.25">
      <c r="A68" s="12"/>
      <c r="B68" s="13"/>
      <c r="C68" s="13"/>
      <c r="D68" s="13"/>
      <c r="E68" s="13"/>
      <c r="F68" s="13"/>
      <c r="G68" s="14"/>
    </row>
    <row r="69" spans="1:7" x14ac:dyDescent="0.25">
      <c r="A69" s="12"/>
      <c r="B69" s="13"/>
      <c r="C69" s="13"/>
      <c r="D69" s="13"/>
      <c r="E69" s="13"/>
      <c r="F69" s="13"/>
      <c r="G69" s="14"/>
    </row>
    <row r="70" spans="1:7" x14ac:dyDescent="0.25">
      <c r="A70" s="12"/>
      <c r="B70" s="13"/>
      <c r="C70" s="13"/>
      <c r="D70" s="13"/>
      <c r="E70" s="13"/>
      <c r="F70" s="13"/>
      <c r="G70" s="14"/>
    </row>
    <row r="71" spans="1:7" x14ac:dyDescent="0.25">
      <c r="A71" s="12"/>
      <c r="B71" s="13"/>
      <c r="C71" s="13"/>
      <c r="D71" s="13"/>
      <c r="E71" s="13"/>
      <c r="F71" s="13"/>
      <c r="G71" s="14"/>
    </row>
    <row r="72" spans="1:7" x14ac:dyDescent="0.25">
      <c r="A72" s="12"/>
      <c r="B72" s="13"/>
      <c r="C72" s="13"/>
      <c r="D72" s="13"/>
      <c r="E72" s="13"/>
      <c r="F72" s="13"/>
      <c r="G72" s="14"/>
    </row>
    <row r="73" spans="1:7" x14ac:dyDescent="0.25">
      <c r="A73" s="12"/>
      <c r="B73" s="13"/>
      <c r="C73" s="13"/>
      <c r="D73" s="13"/>
      <c r="E73" s="13"/>
      <c r="F73" s="13"/>
      <c r="G73" s="14"/>
    </row>
    <row r="74" spans="1:7" x14ac:dyDescent="0.25">
      <c r="A74" s="12"/>
      <c r="B74" s="13"/>
      <c r="C74" s="13"/>
      <c r="D74" s="13"/>
      <c r="E74" s="13"/>
      <c r="F74" s="13"/>
      <c r="G74" s="14"/>
    </row>
    <row r="75" spans="1:7" x14ac:dyDescent="0.25">
      <c r="A75" s="12"/>
      <c r="B75" s="13"/>
      <c r="C75" s="13"/>
      <c r="D75" s="13"/>
      <c r="E75" s="13"/>
      <c r="F75" s="13"/>
      <c r="G75" s="14"/>
    </row>
    <row r="76" spans="1:7" x14ac:dyDescent="0.25">
      <c r="A76" s="12"/>
      <c r="B76" s="13"/>
      <c r="C76" s="13"/>
      <c r="D76" s="13"/>
      <c r="E76" s="13"/>
      <c r="F76" s="13"/>
      <c r="G76" s="14"/>
    </row>
    <row r="77" spans="1:7" x14ac:dyDescent="0.25">
      <c r="A77" s="12"/>
      <c r="B77" s="13"/>
      <c r="C77" s="13"/>
      <c r="D77" s="13"/>
      <c r="E77" s="13"/>
      <c r="F77" s="13"/>
      <c r="G77" s="14"/>
    </row>
    <row r="78" spans="1:7" x14ac:dyDescent="0.25">
      <c r="A78" s="12"/>
      <c r="B78" s="13"/>
      <c r="C78" s="13"/>
      <c r="D78" s="13"/>
      <c r="E78" s="13"/>
      <c r="F78" s="13"/>
      <c r="G78" s="14"/>
    </row>
    <row r="79" spans="1:7" x14ac:dyDescent="0.25">
      <c r="A79" s="12"/>
      <c r="B79" s="13"/>
      <c r="C79" s="13"/>
      <c r="D79" s="13"/>
      <c r="E79" s="13"/>
      <c r="F79" s="13"/>
      <c r="G79" s="14"/>
    </row>
    <row r="80" spans="1:7" x14ac:dyDescent="0.25">
      <c r="A80" s="12"/>
      <c r="B80" s="13"/>
      <c r="C80" s="13"/>
      <c r="D80" s="13"/>
      <c r="E80" s="13"/>
      <c r="F80" s="13"/>
      <c r="G80" s="14"/>
    </row>
    <row r="81" spans="1:7" x14ac:dyDescent="0.25">
      <c r="A81" s="12"/>
      <c r="B81" s="13"/>
      <c r="C81" s="13"/>
      <c r="D81" s="13"/>
      <c r="E81" s="13"/>
      <c r="F81" s="13"/>
      <c r="G81" s="14"/>
    </row>
    <row r="82" spans="1:7" x14ac:dyDescent="0.25">
      <c r="A82" s="12"/>
      <c r="B82" s="13"/>
      <c r="C82" s="13"/>
      <c r="D82" s="13"/>
      <c r="E82" s="13"/>
      <c r="F82" s="13"/>
      <c r="G82" s="14"/>
    </row>
    <row r="83" spans="1:7" x14ac:dyDescent="0.25">
      <c r="A83" s="12"/>
      <c r="B83" s="13"/>
      <c r="C83" s="13"/>
      <c r="D83" s="13"/>
      <c r="E83" s="13"/>
      <c r="F83" s="13"/>
      <c r="G83" s="14"/>
    </row>
    <row r="84" spans="1:7" x14ac:dyDescent="0.25">
      <c r="A84" s="12"/>
      <c r="B84" s="13"/>
      <c r="C84" s="13"/>
      <c r="D84" s="13"/>
      <c r="E84" s="13"/>
      <c r="F84" s="13"/>
      <c r="G84" s="14"/>
    </row>
    <row r="85" spans="1:7" x14ac:dyDescent="0.25">
      <c r="A85" s="12"/>
      <c r="B85" s="13"/>
      <c r="C85" s="13"/>
      <c r="D85" s="13"/>
      <c r="E85" s="13"/>
      <c r="F85" s="13"/>
      <c r="G85" s="14"/>
    </row>
    <row r="86" spans="1:7" ht="15.75" thickBot="1" x14ac:dyDescent="0.3">
      <c r="A86" s="15"/>
      <c r="B86" s="16"/>
      <c r="C86" s="16"/>
      <c r="D86" s="16"/>
      <c r="E86" s="16"/>
      <c r="F86" s="16"/>
      <c r="G86" s="17"/>
    </row>
    <row r="90" spans="1:7" x14ac:dyDescent="0.25">
      <c r="A90" s="100" t="s">
        <v>50</v>
      </c>
      <c r="B90" s="100"/>
      <c r="C90" s="100"/>
      <c r="D90" s="100"/>
      <c r="E90" s="100"/>
      <c r="F90" s="100"/>
      <c r="G90" s="100"/>
    </row>
    <row r="91" spans="1:7" x14ac:dyDescent="0.25">
      <c r="A91" s="97" t="s">
        <v>51</v>
      </c>
      <c r="B91" s="98"/>
      <c r="C91" s="98"/>
      <c r="D91" s="98"/>
      <c r="E91" s="98"/>
      <c r="F91" s="98"/>
      <c r="G91" s="98"/>
    </row>
    <row r="92" spans="1:7" x14ac:dyDescent="0.25">
      <c r="A92" s="98"/>
      <c r="B92" s="98"/>
      <c r="C92" s="98"/>
      <c r="D92" s="98"/>
      <c r="E92" s="98"/>
      <c r="F92" s="98"/>
      <c r="G92" s="98"/>
    </row>
    <row r="93" spans="1:7" x14ac:dyDescent="0.25">
      <c r="A93" s="98"/>
      <c r="B93" s="98"/>
      <c r="C93" s="98"/>
      <c r="D93" s="98"/>
      <c r="E93" s="98"/>
      <c r="F93" s="98"/>
      <c r="G93" s="98"/>
    </row>
    <row r="94" spans="1:7" x14ac:dyDescent="0.25">
      <c r="A94" s="99" t="s">
        <v>58</v>
      </c>
      <c r="B94" s="98"/>
      <c r="C94" s="98"/>
      <c r="D94" s="98"/>
      <c r="E94" s="98"/>
      <c r="F94" s="98"/>
      <c r="G94" s="98"/>
    </row>
    <row r="95" spans="1:7" x14ac:dyDescent="0.25">
      <c r="A95" s="98"/>
      <c r="B95" s="98"/>
      <c r="C95" s="98"/>
      <c r="D95" s="98"/>
      <c r="E95" s="98"/>
      <c r="F95" s="98"/>
      <c r="G95" s="98"/>
    </row>
    <row r="96" spans="1:7" x14ac:dyDescent="0.25">
      <c r="A96" s="98"/>
      <c r="B96" s="98"/>
      <c r="C96" s="98"/>
      <c r="D96" s="98"/>
      <c r="E96" s="98"/>
      <c r="F96" s="98"/>
      <c r="G96" s="98"/>
    </row>
    <row r="97" spans="1:7" x14ac:dyDescent="0.25">
      <c r="A97" s="97" t="s">
        <v>60</v>
      </c>
      <c r="B97" s="98"/>
      <c r="C97" s="98"/>
      <c r="D97" s="98"/>
      <c r="E97" s="98"/>
      <c r="F97" s="98"/>
      <c r="G97" s="98"/>
    </row>
    <row r="98" spans="1:7" x14ac:dyDescent="0.25">
      <c r="A98" s="98"/>
      <c r="B98" s="98"/>
      <c r="C98" s="98"/>
      <c r="D98" s="98"/>
      <c r="E98" s="98"/>
      <c r="F98" s="98"/>
      <c r="G98" s="98"/>
    </row>
    <row r="99" spans="1:7" x14ac:dyDescent="0.25">
      <c r="A99" s="98"/>
      <c r="B99" s="98"/>
      <c r="C99" s="98"/>
      <c r="D99" s="98"/>
      <c r="E99" s="98"/>
      <c r="F99" s="98"/>
      <c r="G99" s="98"/>
    </row>
    <row r="100" spans="1:7" x14ac:dyDescent="0.25">
      <c r="A100" s="97" t="s">
        <v>59</v>
      </c>
      <c r="B100" s="98"/>
      <c r="C100" s="98"/>
      <c r="D100" s="98"/>
      <c r="E100" s="98"/>
      <c r="F100" s="98"/>
      <c r="G100" s="98"/>
    </row>
    <row r="101" spans="1:7" x14ac:dyDescent="0.25">
      <c r="A101" s="98"/>
      <c r="B101" s="98"/>
      <c r="C101" s="98"/>
      <c r="D101" s="98"/>
      <c r="E101" s="98"/>
      <c r="F101" s="98"/>
      <c r="G101" s="98"/>
    </row>
    <row r="102" spans="1:7" x14ac:dyDescent="0.25">
      <c r="A102" s="98"/>
      <c r="B102" s="98"/>
      <c r="C102" s="98"/>
      <c r="D102" s="98"/>
      <c r="E102" s="98"/>
      <c r="F102" s="98"/>
      <c r="G102" s="98"/>
    </row>
    <row r="103" spans="1:7" x14ac:dyDescent="0.25">
      <c r="A103" s="97" t="s">
        <v>62</v>
      </c>
      <c r="B103" s="98"/>
      <c r="C103" s="98"/>
      <c r="D103" s="98"/>
      <c r="E103" s="98"/>
      <c r="F103" s="98"/>
      <c r="G103" s="98"/>
    </row>
    <row r="104" spans="1:7" x14ac:dyDescent="0.25">
      <c r="A104" s="98"/>
      <c r="B104" s="98"/>
      <c r="C104" s="98"/>
      <c r="D104" s="98"/>
      <c r="E104" s="98"/>
      <c r="F104" s="98"/>
      <c r="G104" s="98"/>
    </row>
    <row r="105" spans="1:7" x14ac:dyDescent="0.25">
      <c r="A105" s="98"/>
      <c r="B105" s="98"/>
      <c r="C105" s="98"/>
      <c r="D105" s="98"/>
      <c r="E105" s="98"/>
      <c r="F105" s="98"/>
      <c r="G105" s="98"/>
    </row>
    <row r="108" spans="1:7" x14ac:dyDescent="0.25">
      <c r="E108" s="47"/>
    </row>
  </sheetData>
  <mergeCells count="11">
    <mergeCell ref="A97:G99"/>
    <mergeCell ref="A100:G102"/>
    <mergeCell ref="A103:G105"/>
    <mergeCell ref="A90:G90"/>
    <mergeCell ref="A12:D12"/>
    <mergeCell ref="A17:A19"/>
    <mergeCell ref="F4:G4"/>
    <mergeCell ref="A6:A8"/>
    <mergeCell ref="A24:G24"/>
    <mergeCell ref="A91:G93"/>
    <mergeCell ref="A94:G9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37"/>
  <sheetViews>
    <sheetView topLeftCell="A73" zoomScale="115" zoomScaleNormal="115" workbookViewId="0">
      <selection activeCell="B1" sqref="B1"/>
    </sheetView>
  </sheetViews>
  <sheetFormatPr defaultRowHeight="15" x14ac:dyDescent="0.25"/>
  <cols>
    <col min="1" max="1" width="31.5703125" bestFit="1" customWidth="1"/>
    <col min="2" max="2" width="31.140625" bestFit="1" customWidth="1"/>
    <col min="3" max="3" width="12" customWidth="1"/>
    <col min="4" max="4" width="15.7109375" customWidth="1"/>
    <col min="5" max="5" width="29" customWidth="1"/>
    <col min="6" max="6" width="14.85546875" customWidth="1"/>
    <col min="7" max="7" width="11" customWidth="1"/>
    <col min="8" max="8" width="52.85546875" customWidth="1"/>
    <col min="14" max="14" width="21" bestFit="1" customWidth="1"/>
    <col min="15" max="15" width="13.7109375" bestFit="1" customWidth="1"/>
    <col min="16" max="16" width="14.140625" bestFit="1" customWidth="1"/>
  </cols>
  <sheetData>
    <row r="1" spans="1:9" x14ac:dyDescent="0.25">
      <c r="A1" s="51" t="s">
        <v>0</v>
      </c>
      <c r="B1" s="20" t="s">
        <v>37</v>
      </c>
    </row>
    <row r="2" spans="1:9" x14ac:dyDescent="0.25">
      <c r="A2" s="3" t="s">
        <v>4</v>
      </c>
      <c r="B2" s="3" t="s">
        <v>1</v>
      </c>
      <c r="C2" s="3" t="s">
        <v>2</v>
      </c>
      <c r="D2" s="3" t="s">
        <v>3</v>
      </c>
      <c r="E2" s="3" t="s">
        <v>27</v>
      </c>
      <c r="F2" s="3" t="s">
        <v>28</v>
      </c>
      <c r="G2" s="3" t="s">
        <v>3</v>
      </c>
      <c r="H2" s="3" t="s">
        <v>65</v>
      </c>
    </row>
    <row r="3" spans="1:9" ht="17.25" x14ac:dyDescent="0.25">
      <c r="A3" s="4" t="s">
        <v>5</v>
      </c>
      <c r="B3" s="4" t="s">
        <v>6</v>
      </c>
      <c r="C3" s="5">
        <f>278.5/4.56</f>
        <v>61.074561403508774</v>
      </c>
      <c r="D3" s="6" t="s">
        <v>9</v>
      </c>
      <c r="E3" s="6" t="s">
        <v>63</v>
      </c>
      <c r="F3" s="4">
        <f>AVERAGE(B49:B52)</f>
        <v>278.5</v>
      </c>
      <c r="G3" s="6" t="s">
        <v>8</v>
      </c>
      <c r="H3" s="43" t="s">
        <v>66</v>
      </c>
    </row>
    <row r="4" spans="1:9" ht="18" x14ac:dyDescent="0.35">
      <c r="A4" s="4" t="s">
        <v>11</v>
      </c>
      <c r="B4" s="4" t="s">
        <v>10</v>
      </c>
      <c r="C4" s="5">
        <f>SLOPE(B57:B64,A57:A64)</f>
        <v>0.2842311952472058</v>
      </c>
      <c r="D4" s="4" t="s">
        <v>21</v>
      </c>
      <c r="E4" s="4" t="s">
        <v>48</v>
      </c>
      <c r="F4" s="90" t="s">
        <v>105</v>
      </c>
      <c r="G4" s="91"/>
      <c r="H4" s="4" t="s">
        <v>66</v>
      </c>
    </row>
    <row r="5" spans="1:9" ht="30" x14ac:dyDescent="0.25">
      <c r="A5" s="45" t="s">
        <v>13</v>
      </c>
      <c r="B5" s="4" t="s">
        <v>26</v>
      </c>
      <c r="C5" s="7">
        <f>1-EXP(F5*(10/24))</f>
        <v>5.666455012650784E-2</v>
      </c>
      <c r="D5" s="4" t="s">
        <v>14</v>
      </c>
      <c r="E5" s="6" t="s">
        <v>7</v>
      </c>
      <c r="F5" s="4">
        <v>-0.14000000000000001</v>
      </c>
      <c r="G5" s="4" t="s">
        <v>15</v>
      </c>
      <c r="H5" s="44" t="s">
        <v>67</v>
      </c>
    </row>
    <row r="6" spans="1:9" x14ac:dyDescent="0.25">
      <c r="A6" s="102" t="s">
        <v>12</v>
      </c>
      <c r="B6" s="4" t="s">
        <v>16</v>
      </c>
      <c r="C6" s="4">
        <v>35</v>
      </c>
      <c r="D6" s="4" t="s">
        <v>23</v>
      </c>
      <c r="E6" s="4" t="s">
        <v>30</v>
      </c>
      <c r="F6" s="4">
        <v>35</v>
      </c>
      <c r="G6" s="4" t="s">
        <v>23</v>
      </c>
      <c r="H6" s="4" t="s">
        <v>66</v>
      </c>
      <c r="I6" s="31"/>
    </row>
    <row r="7" spans="1:9" x14ac:dyDescent="0.25">
      <c r="A7" s="102"/>
      <c r="B7" s="4" t="s">
        <v>17</v>
      </c>
      <c r="C7" s="4">
        <v>3</v>
      </c>
      <c r="D7" s="4" t="s">
        <v>23</v>
      </c>
      <c r="E7" s="4" t="s">
        <v>31</v>
      </c>
      <c r="F7" s="4">
        <v>3</v>
      </c>
      <c r="G7" s="4" t="s">
        <v>23</v>
      </c>
      <c r="H7" s="4" t="s">
        <v>68</v>
      </c>
      <c r="I7" s="31"/>
    </row>
    <row r="8" spans="1:9" x14ac:dyDescent="0.25">
      <c r="A8" s="102"/>
      <c r="B8" s="4" t="s">
        <v>18</v>
      </c>
      <c r="C8" s="4">
        <v>28</v>
      </c>
      <c r="D8" s="4" t="s">
        <v>23</v>
      </c>
      <c r="E8" s="4" t="s">
        <v>30</v>
      </c>
      <c r="F8" s="4">
        <v>28</v>
      </c>
      <c r="G8" s="4" t="s">
        <v>23</v>
      </c>
      <c r="H8" s="4" t="s">
        <v>66</v>
      </c>
      <c r="I8" s="31"/>
    </row>
    <row r="12" spans="1:9" x14ac:dyDescent="0.25">
      <c r="A12" s="101" t="s">
        <v>57</v>
      </c>
      <c r="B12" s="101"/>
      <c r="C12" s="101"/>
      <c r="D12" s="101"/>
    </row>
    <row r="13" spans="1:9" x14ac:dyDescent="0.25">
      <c r="A13" s="3" t="s">
        <v>4</v>
      </c>
      <c r="B13" s="3" t="s">
        <v>1</v>
      </c>
      <c r="C13" s="3" t="s">
        <v>2</v>
      </c>
      <c r="D13" s="3" t="s">
        <v>3</v>
      </c>
    </row>
    <row r="14" spans="1:9" ht="17.25" x14ac:dyDescent="0.25">
      <c r="A14" s="4" t="s">
        <v>5</v>
      </c>
      <c r="B14" s="4" t="s">
        <v>6</v>
      </c>
      <c r="C14" s="5">
        <f>250.8/4.56</f>
        <v>55.000000000000007</v>
      </c>
      <c r="D14" s="6" t="s">
        <v>9</v>
      </c>
    </row>
    <row r="15" spans="1:9" ht="18" x14ac:dyDescent="0.35">
      <c r="A15" s="4" t="s">
        <v>11</v>
      </c>
      <c r="B15" s="4" t="s">
        <v>10</v>
      </c>
      <c r="C15" s="5">
        <v>0.28000000000000003</v>
      </c>
      <c r="D15" s="4" t="s">
        <v>21</v>
      </c>
    </row>
    <row r="16" spans="1:9" x14ac:dyDescent="0.25">
      <c r="A16" s="45" t="s">
        <v>13</v>
      </c>
      <c r="B16" s="4" t="s">
        <v>26</v>
      </c>
      <c r="C16" s="7">
        <v>6.4000000000000001E-2</v>
      </c>
      <c r="D16" s="4" t="s">
        <v>14</v>
      </c>
    </row>
    <row r="17" spans="1:7" x14ac:dyDescent="0.25">
      <c r="A17" s="102" t="s">
        <v>12</v>
      </c>
      <c r="B17" s="4" t="s">
        <v>16</v>
      </c>
      <c r="C17" s="4">
        <v>32.5</v>
      </c>
      <c r="D17" s="4" t="s">
        <v>23</v>
      </c>
    </row>
    <row r="18" spans="1:7" x14ac:dyDescent="0.25">
      <c r="A18" s="102"/>
      <c r="B18" s="4" t="s">
        <v>17</v>
      </c>
      <c r="C18" s="4">
        <v>3</v>
      </c>
      <c r="D18" s="4" t="s">
        <v>23</v>
      </c>
    </row>
    <row r="19" spans="1:7" x14ac:dyDescent="0.25">
      <c r="A19" s="102"/>
      <c r="B19" s="4" t="s">
        <v>18</v>
      </c>
      <c r="C19" s="4">
        <v>28</v>
      </c>
      <c r="D19" s="4" t="s">
        <v>23</v>
      </c>
    </row>
    <row r="20" spans="1:7" x14ac:dyDescent="0.25">
      <c r="A20" s="48"/>
      <c r="B20" s="49"/>
      <c r="C20" s="49"/>
      <c r="D20" s="49"/>
    </row>
    <row r="21" spans="1:7" x14ac:dyDescent="0.25">
      <c r="A21" s="48"/>
      <c r="B21" s="49"/>
      <c r="C21" s="49"/>
      <c r="D21" s="49"/>
    </row>
    <row r="22" spans="1:7" x14ac:dyDescent="0.25">
      <c r="A22" s="48"/>
      <c r="B22" s="49"/>
      <c r="C22" s="49"/>
      <c r="D22" s="49"/>
    </row>
    <row r="23" spans="1:7" ht="15.75" thickBot="1" x14ac:dyDescent="0.3"/>
    <row r="24" spans="1:7" ht="15.75" thickBot="1" x14ac:dyDescent="0.3">
      <c r="A24" s="94" t="s">
        <v>29</v>
      </c>
      <c r="B24" s="95"/>
      <c r="C24" s="95"/>
      <c r="D24" s="95"/>
      <c r="E24" s="95"/>
      <c r="F24" s="95"/>
      <c r="G24" s="96"/>
    </row>
    <row r="25" spans="1:7" x14ac:dyDescent="0.25">
      <c r="A25" s="9"/>
      <c r="B25" s="10"/>
      <c r="C25" s="10"/>
      <c r="D25" s="10"/>
      <c r="E25" s="10"/>
      <c r="F25" s="10"/>
      <c r="G25" s="11"/>
    </row>
    <row r="26" spans="1:7" x14ac:dyDescent="0.25">
      <c r="A26" s="12"/>
      <c r="B26" s="13"/>
      <c r="C26" s="13"/>
      <c r="D26" s="13"/>
      <c r="E26" s="13"/>
      <c r="F26" s="13"/>
      <c r="G26" s="14"/>
    </row>
    <row r="27" spans="1:7" x14ac:dyDescent="0.25">
      <c r="A27" s="12"/>
      <c r="B27" s="13"/>
      <c r="C27" s="13"/>
      <c r="D27" s="13"/>
      <c r="E27" s="13"/>
      <c r="F27" s="13"/>
      <c r="G27" s="14"/>
    </row>
    <row r="28" spans="1:7" x14ac:dyDescent="0.25">
      <c r="A28" s="12"/>
      <c r="B28" s="13"/>
      <c r="C28" s="13"/>
      <c r="D28" s="13"/>
      <c r="E28" s="13"/>
      <c r="F28" s="13"/>
      <c r="G28" s="14"/>
    </row>
    <row r="29" spans="1:7" x14ac:dyDescent="0.25">
      <c r="A29" s="12"/>
      <c r="B29" s="13"/>
      <c r="C29" s="13"/>
      <c r="D29" s="13"/>
      <c r="E29" s="13"/>
      <c r="F29" s="13"/>
      <c r="G29" s="14"/>
    </row>
    <row r="30" spans="1:7" x14ac:dyDescent="0.25">
      <c r="A30" s="12"/>
      <c r="B30" s="13"/>
      <c r="C30" s="13"/>
      <c r="D30" s="13"/>
      <c r="E30" s="13"/>
      <c r="F30" s="13"/>
      <c r="G30" s="14"/>
    </row>
    <row r="31" spans="1:7" x14ac:dyDescent="0.25">
      <c r="A31" s="12"/>
      <c r="B31" s="13"/>
      <c r="C31" s="13"/>
      <c r="D31" s="13"/>
      <c r="E31" s="13"/>
      <c r="F31" s="13"/>
      <c r="G31" s="14"/>
    </row>
    <row r="32" spans="1:7" x14ac:dyDescent="0.25">
      <c r="A32" s="12"/>
      <c r="B32" s="13"/>
      <c r="C32" s="13"/>
      <c r="D32" s="13"/>
      <c r="E32" s="13"/>
      <c r="F32" s="13"/>
      <c r="G32" s="14"/>
    </row>
    <row r="33" spans="1:18" x14ac:dyDescent="0.25">
      <c r="A33" s="12"/>
      <c r="B33" s="13"/>
      <c r="C33" s="13"/>
      <c r="D33" s="13"/>
      <c r="E33" s="13"/>
      <c r="F33" s="13"/>
      <c r="G33" s="14"/>
    </row>
    <row r="34" spans="1:18" x14ac:dyDescent="0.25">
      <c r="A34" s="12"/>
      <c r="B34" s="13"/>
      <c r="C34" s="13"/>
      <c r="D34" s="13"/>
      <c r="E34" s="13"/>
      <c r="F34" s="13"/>
      <c r="G34" s="14"/>
    </row>
    <row r="35" spans="1:18" x14ac:dyDescent="0.25">
      <c r="A35" s="12"/>
      <c r="B35" s="13"/>
      <c r="C35" s="13"/>
      <c r="D35" s="13"/>
      <c r="E35" s="13"/>
      <c r="F35" s="13"/>
      <c r="G35" s="14"/>
    </row>
    <row r="36" spans="1:18" x14ac:dyDescent="0.25">
      <c r="A36" s="12"/>
      <c r="B36" s="13"/>
      <c r="C36" s="13"/>
      <c r="D36" s="13"/>
      <c r="E36" s="13"/>
      <c r="F36" s="13"/>
      <c r="G36" s="14"/>
    </row>
    <row r="37" spans="1:18" x14ac:dyDescent="0.25">
      <c r="A37" s="12"/>
      <c r="B37" s="13"/>
      <c r="C37" s="13"/>
      <c r="D37" s="13"/>
      <c r="E37" s="13"/>
      <c r="F37" s="13"/>
      <c r="G37" s="14"/>
    </row>
    <row r="38" spans="1:18" x14ac:dyDescent="0.25">
      <c r="A38" s="12"/>
      <c r="B38" s="13"/>
      <c r="C38" s="13"/>
      <c r="D38" s="13"/>
      <c r="E38" s="13"/>
      <c r="F38" s="13"/>
      <c r="G38" s="14"/>
    </row>
    <row r="39" spans="1:18" x14ac:dyDescent="0.25">
      <c r="A39" s="12"/>
      <c r="B39" s="13"/>
      <c r="C39" s="13"/>
      <c r="D39" s="13"/>
      <c r="E39" s="13"/>
      <c r="F39" s="13"/>
      <c r="G39" s="14"/>
    </row>
    <row r="40" spans="1:18" x14ac:dyDescent="0.25">
      <c r="A40" s="12"/>
      <c r="B40" s="13"/>
      <c r="C40" s="13"/>
      <c r="D40" s="13"/>
      <c r="E40" s="13"/>
      <c r="F40" s="13"/>
      <c r="G40" s="14"/>
    </row>
    <row r="41" spans="1:18" x14ac:dyDescent="0.25">
      <c r="A41" s="12"/>
      <c r="B41" s="13"/>
      <c r="C41" s="13"/>
      <c r="D41" s="13"/>
      <c r="E41" s="13"/>
      <c r="F41" s="13"/>
      <c r="G41" s="14"/>
    </row>
    <row r="42" spans="1:18" x14ac:dyDescent="0.25">
      <c r="A42" s="12"/>
      <c r="B42" s="13"/>
      <c r="C42" s="13"/>
      <c r="D42" s="13"/>
      <c r="E42" s="13"/>
      <c r="F42" s="13"/>
      <c r="G42" s="14"/>
    </row>
    <row r="43" spans="1:18" x14ac:dyDescent="0.25">
      <c r="A43" s="12"/>
      <c r="B43" s="13"/>
      <c r="C43" s="13"/>
      <c r="D43" s="13"/>
      <c r="E43" s="13"/>
      <c r="F43" s="13"/>
      <c r="G43" s="14"/>
    </row>
    <row r="44" spans="1:18" x14ac:dyDescent="0.25">
      <c r="A44" s="12"/>
      <c r="B44" s="13"/>
      <c r="C44" s="13"/>
      <c r="D44" s="13"/>
      <c r="E44" s="13"/>
      <c r="F44" s="13"/>
      <c r="G44" s="14"/>
    </row>
    <row r="45" spans="1:18" x14ac:dyDescent="0.25">
      <c r="A45" s="12"/>
      <c r="B45" s="13"/>
      <c r="C45" s="13"/>
      <c r="D45" s="13"/>
      <c r="E45" s="13"/>
      <c r="F45" s="13"/>
      <c r="G45" s="14"/>
      <c r="R45" s="1"/>
    </row>
    <row r="46" spans="1:18" x14ac:dyDescent="0.25">
      <c r="A46" s="12"/>
      <c r="B46" s="13"/>
      <c r="C46" s="13"/>
      <c r="D46" s="13"/>
      <c r="E46" s="13"/>
      <c r="F46" s="13"/>
      <c r="G46" s="14"/>
    </row>
    <row r="47" spans="1:18" x14ac:dyDescent="0.25">
      <c r="A47" s="12"/>
      <c r="B47" s="13"/>
      <c r="C47" s="13"/>
      <c r="D47" s="13"/>
      <c r="E47" s="13"/>
      <c r="F47" s="13"/>
      <c r="G47" s="14"/>
    </row>
    <row r="48" spans="1:18" x14ac:dyDescent="0.25">
      <c r="A48" s="23" t="s">
        <v>32</v>
      </c>
      <c r="B48" s="22" t="s">
        <v>6</v>
      </c>
      <c r="C48" s="13"/>
      <c r="D48" s="13"/>
      <c r="E48" s="13"/>
      <c r="F48" s="13"/>
      <c r="G48" s="14"/>
    </row>
    <row r="49" spans="1:7" x14ac:dyDescent="0.25">
      <c r="A49" s="24" t="s">
        <v>33</v>
      </c>
      <c r="B49" s="21">
        <v>342</v>
      </c>
      <c r="C49" s="13"/>
      <c r="D49" s="13"/>
      <c r="E49" s="13"/>
      <c r="F49" s="13"/>
      <c r="G49" s="14"/>
    </row>
    <row r="50" spans="1:7" x14ac:dyDescent="0.25">
      <c r="A50" s="24" t="s">
        <v>34</v>
      </c>
      <c r="B50" s="21">
        <v>152</v>
      </c>
      <c r="C50" s="13"/>
      <c r="D50" s="13"/>
      <c r="E50" s="13"/>
      <c r="F50" s="13"/>
      <c r="G50" s="14"/>
    </row>
    <row r="51" spans="1:7" x14ac:dyDescent="0.25">
      <c r="A51" s="24" t="s">
        <v>35</v>
      </c>
      <c r="B51" s="21">
        <v>304</v>
      </c>
      <c r="C51" s="13"/>
      <c r="D51" s="13"/>
      <c r="E51" s="13"/>
      <c r="F51" s="13"/>
      <c r="G51" s="14"/>
    </row>
    <row r="52" spans="1:7" x14ac:dyDescent="0.25">
      <c r="A52" s="24" t="s">
        <v>36</v>
      </c>
      <c r="B52" s="21">
        <v>316</v>
      </c>
      <c r="C52" s="13"/>
      <c r="D52" s="13"/>
      <c r="E52" s="13"/>
      <c r="F52" s="13"/>
      <c r="G52" s="14"/>
    </row>
    <row r="53" spans="1:7" x14ac:dyDescent="0.25">
      <c r="A53" s="25"/>
      <c r="B53" s="26"/>
      <c r="C53" s="13"/>
      <c r="D53" s="13"/>
      <c r="E53" s="13"/>
      <c r="F53" s="13"/>
      <c r="G53" s="14"/>
    </row>
    <row r="54" spans="1:7" x14ac:dyDescent="0.25">
      <c r="A54" s="12"/>
      <c r="B54" s="13"/>
      <c r="C54" s="13"/>
      <c r="D54" s="13"/>
      <c r="E54" s="13"/>
      <c r="F54" s="13"/>
      <c r="G54" s="14"/>
    </row>
    <row r="55" spans="1:7" x14ac:dyDescent="0.25">
      <c r="A55" s="12"/>
      <c r="B55" s="13"/>
      <c r="C55" s="13"/>
      <c r="D55" s="13"/>
      <c r="E55" s="13"/>
      <c r="F55" s="13"/>
      <c r="G55" s="14"/>
    </row>
    <row r="56" spans="1:7" ht="18" x14ac:dyDescent="0.35">
      <c r="A56" s="18" t="s">
        <v>19</v>
      </c>
      <c r="B56" s="3" t="s">
        <v>20</v>
      </c>
      <c r="C56" s="13"/>
      <c r="D56" s="13"/>
      <c r="E56" s="13"/>
      <c r="F56" s="13"/>
      <c r="G56" s="14"/>
    </row>
    <row r="57" spans="1:7" x14ac:dyDescent="0.25">
      <c r="A57" s="19">
        <v>0.08</v>
      </c>
      <c r="B57" s="5">
        <v>0</v>
      </c>
      <c r="C57" s="13"/>
      <c r="D57" s="13"/>
      <c r="E57" s="13"/>
      <c r="F57" s="13"/>
      <c r="G57" s="14"/>
    </row>
    <row r="58" spans="1:7" x14ac:dyDescent="0.25">
      <c r="A58" s="19">
        <v>0.11</v>
      </c>
      <c r="B58" s="5">
        <v>0.01</v>
      </c>
      <c r="C58" s="13"/>
      <c r="D58" s="13"/>
      <c r="E58" s="13"/>
      <c r="F58" s="13"/>
      <c r="G58" s="14"/>
    </row>
    <row r="59" spans="1:7" x14ac:dyDescent="0.25">
      <c r="A59" s="19">
        <v>0.24</v>
      </c>
      <c r="B59" s="5">
        <v>5.0999999999999997E-2</v>
      </c>
      <c r="C59" s="13"/>
      <c r="D59" s="13"/>
      <c r="E59" s="13"/>
      <c r="F59" s="13"/>
      <c r="G59" s="14"/>
    </row>
    <row r="60" spans="1:7" x14ac:dyDescent="0.25">
      <c r="A60" s="19">
        <v>0.37</v>
      </c>
      <c r="B60" s="5">
        <v>7.4999999999999997E-2</v>
      </c>
      <c r="C60" s="13"/>
      <c r="D60" s="13"/>
      <c r="E60" s="13"/>
      <c r="F60" s="13"/>
      <c r="G60" s="14"/>
    </row>
    <row r="61" spans="1:7" x14ac:dyDescent="0.25">
      <c r="A61" s="19">
        <v>0.46</v>
      </c>
      <c r="B61" s="5">
        <v>0.12</v>
      </c>
      <c r="C61" s="13"/>
      <c r="D61" s="13"/>
      <c r="E61" s="13"/>
      <c r="F61" s="13"/>
      <c r="G61" s="14"/>
    </row>
    <row r="62" spans="1:7" x14ac:dyDescent="0.25">
      <c r="A62" s="19">
        <v>0.57999999999999996</v>
      </c>
      <c r="B62" s="5">
        <v>0.15</v>
      </c>
      <c r="C62" s="13"/>
      <c r="D62" s="13"/>
      <c r="E62" s="13"/>
      <c r="F62" s="13"/>
      <c r="G62" s="14"/>
    </row>
    <row r="63" spans="1:7" x14ac:dyDescent="0.25">
      <c r="A63" s="24">
        <v>0.7</v>
      </c>
      <c r="B63" s="21">
        <v>0.18</v>
      </c>
      <c r="C63" s="13"/>
      <c r="D63" s="13"/>
      <c r="E63" s="13"/>
      <c r="F63" s="13"/>
      <c r="G63" s="14"/>
    </row>
    <row r="64" spans="1:7" x14ac:dyDescent="0.25">
      <c r="A64" s="24">
        <v>0.8</v>
      </c>
      <c r="B64" s="21">
        <v>0.2</v>
      </c>
      <c r="C64" s="13"/>
      <c r="D64" s="13"/>
      <c r="E64" s="13"/>
      <c r="F64" s="13"/>
      <c r="G64" s="14"/>
    </row>
    <row r="65" spans="1:7" x14ac:dyDescent="0.25">
      <c r="A65" s="12"/>
      <c r="B65" s="13"/>
      <c r="C65" s="13"/>
      <c r="D65" s="13"/>
      <c r="E65" s="13"/>
      <c r="F65" s="13"/>
      <c r="G65" s="14"/>
    </row>
    <row r="66" spans="1:7" x14ac:dyDescent="0.25">
      <c r="A66" s="12"/>
      <c r="B66" s="13"/>
      <c r="C66" s="13"/>
      <c r="D66" s="13"/>
      <c r="E66" s="13"/>
      <c r="F66" s="13"/>
      <c r="G66" s="14"/>
    </row>
    <row r="67" spans="1:7" x14ac:dyDescent="0.25">
      <c r="A67" s="12"/>
      <c r="B67" s="13"/>
      <c r="C67" s="13"/>
      <c r="D67" s="13"/>
      <c r="E67" s="13"/>
      <c r="F67" s="13"/>
      <c r="G67" s="14"/>
    </row>
    <row r="68" spans="1:7" x14ac:dyDescent="0.25">
      <c r="A68" s="12"/>
      <c r="B68" s="13"/>
      <c r="C68" s="13"/>
      <c r="D68" s="13"/>
      <c r="E68" s="13"/>
      <c r="F68" s="13"/>
      <c r="G68" s="14"/>
    </row>
    <row r="69" spans="1:7" x14ac:dyDescent="0.25">
      <c r="A69" s="12"/>
      <c r="B69" s="13"/>
      <c r="C69" s="13"/>
      <c r="D69" s="13"/>
      <c r="E69" s="13"/>
      <c r="F69" s="13"/>
      <c r="G69" s="14"/>
    </row>
    <row r="70" spans="1:7" x14ac:dyDescent="0.25">
      <c r="A70" s="12"/>
      <c r="B70" s="13"/>
      <c r="C70" s="13"/>
      <c r="D70" s="13"/>
      <c r="E70" s="13"/>
      <c r="F70" s="13"/>
      <c r="G70" s="14"/>
    </row>
    <row r="71" spans="1:7" x14ac:dyDescent="0.25">
      <c r="A71" s="12"/>
      <c r="B71" s="13"/>
      <c r="C71" s="13"/>
      <c r="D71" s="13"/>
      <c r="E71" s="13"/>
      <c r="F71" s="13"/>
      <c r="G71" s="14"/>
    </row>
    <row r="72" spans="1:7" x14ac:dyDescent="0.25">
      <c r="A72" s="12"/>
      <c r="B72" s="13"/>
      <c r="C72" s="13"/>
      <c r="D72" s="13"/>
      <c r="E72" s="13"/>
      <c r="F72" s="13"/>
      <c r="G72" s="14"/>
    </row>
    <row r="73" spans="1:7" x14ac:dyDescent="0.25">
      <c r="A73" s="12"/>
      <c r="B73" s="13"/>
      <c r="C73" s="13"/>
      <c r="D73" s="13"/>
      <c r="E73" s="13"/>
      <c r="F73" s="13"/>
      <c r="G73" s="14"/>
    </row>
    <row r="74" spans="1:7" x14ac:dyDescent="0.25">
      <c r="A74" s="12"/>
      <c r="B74" s="13"/>
      <c r="C74" s="13"/>
      <c r="D74" s="13"/>
      <c r="E74" s="13"/>
      <c r="F74" s="13"/>
      <c r="G74" s="14"/>
    </row>
    <row r="75" spans="1:7" x14ac:dyDescent="0.25">
      <c r="A75" s="12"/>
      <c r="B75" s="13"/>
      <c r="C75" s="13"/>
      <c r="D75" s="13"/>
      <c r="E75" s="13"/>
      <c r="F75" s="13"/>
      <c r="G75" s="14"/>
    </row>
    <row r="76" spans="1:7" x14ac:dyDescent="0.25">
      <c r="A76" s="12"/>
      <c r="B76" s="13"/>
      <c r="C76" s="13"/>
      <c r="D76" s="13"/>
      <c r="E76" s="13"/>
      <c r="F76" s="13"/>
      <c r="G76" s="14"/>
    </row>
    <row r="77" spans="1:7" x14ac:dyDescent="0.25">
      <c r="A77" s="25"/>
      <c r="B77" s="26"/>
      <c r="C77" s="26"/>
      <c r="D77" s="26"/>
      <c r="E77" s="26"/>
      <c r="F77" s="26"/>
      <c r="G77" s="27"/>
    </row>
    <row r="78" spans="1:7" x14ac:dyDescent="0.25">
      <c r="A78" s="25"/>
      <c r="B78" s="26"/>
      <c r="C78" s="26"/>
      <c r="D78" s="26"/>
      <c r="E78" s="26"/>
      <c r="F78" s="26"/>
      <c r="G78" s="27"/>
    </row>
    <row r="79" spans="1:7" x14ac:dyDescent="0.25">
      <c r="A79" s="25"/>
      <c r="B79" s="26"/>
      <c r="C79" s="26"/>
      <c r="D79" s="26"/>
      <c r="E79" s="26"/>
      <c r="F79" s="26"/>
      <c r="G79" s="27"/>
    </row>
    <row r="80" spans="1:7" x14ac:dyDescent="0.25">
      <c r="A80" s="25"/>
      <c r="B80" s="26"/>
      <c r="C80" s="26"/>
      <c r="D80" s="26"/>
      <c r="E80" s="26"/>
      <c r="F80" s="26"/>
      <c r="G80" s="27"/>
    </row>
    <row r="81" spans="1:7" x14ac:dyDescent="0.25">
      <c r="A81" s="25"/>
      <c r="B81" s="26"/>
      <c r="C81" s="26"/>
      <c r="D81" s="26"/>
      <c r="E81" s="26"/>
      <c r="F81" s="26"/>
      <c r="G81" s="27"/>
    </row>
    <row r="82" spans="1:7" x14ac:dyDescent="0.25">
      <c r="A82" s="25"/>
      <c r="B82" s="26"/>
      <c r="C82" s="26"/>
      <c r="D82" s="26"/>
      <c r="E82" s="26"/>
      <c r="F82" s="26"/>
      <c r="G82" s="27"/>
    </row>
    <row r="83" spans="1:7" x14ac:dyDescent="0.25">
      <c r="A83" s="25"/>
      <c r="B83" s="26"/>
      <c r="C83" s="26"/>
      <c r="D83" s="26"/>
      <c r="E83" s="26"/>
      <c r="F83" s="26"/>
      <c r="G83" s="27"/>
    </row>
    <row r="84" spans="1:7" x14ac:dyDescent="0.25">
      <c r="A84" s="25"/>
      <c r="B84" s="26"/>
      <c r="C84" s="26"/>
      <c r="D84" s="26"/>
      <c r="E84" s="26"/>
      <c r="F84" s="26"/>
      <c r="G84" s="27"/>
    </row>
    <row r="85" spans="1:7" x14ac:dyDescent="0.25">
      <c r="A85" s="25"/>
      <c r="B85" s="13"/>
      <c r="C85" s="13"/>
      <c r="D85" s="13"/>
      <c r="E85" s="13"/>
      <c r="F85" s="13"/>
      <c r="G85" s="14"/>
    </row>
    <row r="86" spans="1:7" x14ac:dyDescent="0.25">
      <c r="A86" s="25"/>
      <c r="B86" s="13"/>
      <c r="C86" s="13"/>
      <c r="D86" s="13"/>
      <c r="E86" s="13"/>
      <c r="F86" s="13"/>
      <c r="G86" s="14"/>
    </row>
    <row r="87" spans="1:7" x14ac:dyDescent="0.25">
      <c r="A87" s="25"/>
      <c r="B87" s="13"/>
      <c r="C87" s="13"/>
      <c r="D87" s="13"/>
      <c r="E87" s="13"/>
      <c r="F87" s="13"/>
      <c r="G87" s="14"/>
    </row>
    <row r="88" spans="1:7" x14ac:dyDescent="0.25">
      <c r="A88" s="25"/>
      <c r="B88" s="13"/>
      <c r="C88" s="13"/>
      <c r="D88" s="13"/>
      <c r="E88" s="13"/>
      <c r="F88" s="13"/>
      <c r="G88" s="14"/>
    </row>
    <row r="89" spans="1:7" x14ac:dyDescent="0.25">
      <c r="A89" s="25"/>
      <c r="B89" s="13"/>
      <c r="C89" s="13"/>
      <c r="D89" s="13"/>
      <c r="E89" s="13"/>
      <c r="F89" s="13"/>
      <c r="G89" s="14"/>
    </row>
    <row r="90" spans="1:7" x14ac:dyDescent="0.25">
      <c r="A90" s="25"/>
      <c r="B90" s="13"/>
      <c r="C90" s="13"/>
      <c r="D90" s="13"/>
      <c r="E90" s="13"/>
      <c r="F90" s="13"/>
      <c r="G90" s="14"/>
    </row>
    <row r="91" spans="1:7" x14ac:dyDescent="0.25">
      <c r="A91" s="25"/>
      <c r="B91" s="13"/>
      <c r="C91" s="13"/>
      <c r="D91" s="13"/>
      <c r="E91" s="13"/>
      <c r="F91" s="13"/>
      <c r="G91" s="14"/>
    </row>
    <row r="92" spans="1:7" x14ac:dyDescent="0.25">
      <c r="A92" s="25"/>
      <c r="B92" s="13"/>
      <c r="C92" s="13"/>
      <c r="D92" s="13"/>
      <c r="E92" s="13"/>
      <c r="F92" s="13"/>
      <c r="G92" s="14"/>
    </row>
    <row r="93" spans="1:7" x14ac:dyDescent="0.25">
      <c r="A93" s="25"/>
      <c r="B93" s="13"/>
      <c r="C93" s="13"/>
      <c r="D93" s="13"/>
      <c r="E93" s="13"/>
      <c r="F93" s="13"/>
      <c r="G93" s="14"/>
    </row>
    <row r="94" spans="1:7" x14ac:dyDescent="0.25">
      <c r="A94" s="25"/>
      <c r="B94" s="13"/>
      <c r="C94" s="13"/>
      <c r="D94" s="13"/>
      <c r="E94" s="13"/>
      <c r="F94" s="13"/>
      <c r="G94" s="14"/>
    </row>
    <row r="95" spans="1:7" x14ac:dyDescent="0.25">
      <c r="A95" s="25"/>
      <c r="B95" s="13"/>
      <c r="C95" s="13"/>
      <c r="D95" s="13"/>
      <c r="E95" s="13"/>
      <c r="F95" s="13"/>
      <c r="G95" s="14"/>
    </row>
    <row r="96" spans="1:7" x14ac:dyDescent="0.25">
      <c r="A96" s="25"/>
      <c r="B96" s="13"/>
      <c r="C96" s="13"/>
      <c r="D96" s="13"/>
      <c r="E96" s="13"/>
      <c r="F96" s="13"/>
      <c r="G96" s="14"/>
    </row>
    <row r="97" spans="1:7" x14ac:dyDescent="0.25">
      <c r="A97" s="25"/>
      <c r="B97" s="13"/>
      <c r="C97" s="13"/>
      <c r="D97" s="13"/>
      <c r="E97" s="13"/>
      <c r="F97" s="13"/>
      <c r="G97" s="14"/>
    </row>
    <row r="98" spans="1:7" x14ac:dyDescent="0.25">
      <c r="A98" s="25"/>
      <c r="B98" s="13"/>
      <c r="C98" s="13"/>
      <c r="D98" s="13"/>
      <c r="E98" s="13"/>
      <c r="F98" s="13"/>
      <c r="G98" s="14"/>
    </row>
    <row r="99" spans="1:7" x14ac:dyDescent="0.25">
      <c r="A99" s="25"/>
      <c r="B99" s="13"/>
      <c r="C99" s="13"/>
      <c r="D99" s="13"/>
      <c r="E99" s="13"/>
      <c r="F99" s="13"/>
      <c r="G99" s="14"/>
    </row>
    <row r="100" spans="1:7" x14ac:dyDescent="0.25">
      <c r="A100" s="25"/>
      <c r="B100" s="13"/>
      <c r="C100" s="13"/>
      <c r="D100" s="13"/>
      <c r="E100" s="13"/>
      <c r="F100" s="13"/>
      <c r="G100" s="14"/>
    </row>
    <row r="101" spans="1:7" x14ac:dyDescent="0.25">
      <c r="A101" s="25"/>
      <c r="B101" s="13"/>
      <c r="C101" s="13"/>
      <c r="D101" s="13"/>
      <c r="E101" s="13"/>
      <c r="F101" s="13"/>
      <c r="G101" s="14"/>
    </row>
    <row r="102" spans="1:7" x14ac:dyDescent="0.25">
      <c r="A102" s="25"/>
      <c r="B102" s="13"/>
      <c r="C102" s="13"/>
      <c r="D102" s="13"/>
      <c r="E102" s="13"/>
      <c r="F102" s="13"/>
      <c r="G102" s="14"/>
    </row>
    <row r="103" spans="1:7" x14ac:dyDescent="0.25">
      <c r="A103" s="25"/>
      <c r="B103" s="13"/>
      <c r="C103" s="13"/>
      <c r="D103" s="13"/>
      <c r="E103" s="13"/>
      <c r="F103" s="13"/>
      <c r="G103" s="14"/>
    </row>
    <row r="104" spans="1:7" x14ac:dyDescent="0.25">
      <c r="A104" s="25"/>
      <c r="B104" s="13"/>
      <c r="C104" s="13"/>
      <c r="D104" s="13"/>
      <c r="E104" s="13"/>
      <c r="F104" s="13"/>
      <c r="G104" s="14"/>
    </row>
    <row r="105" spans="1:7" x14ac:dyDescent="0.25">
      <c r="A105" s="25"/>
      <c r="B105" s="13"/>
      <c r="C105" s="13"/>
      <c r="D105" s="13"/>
      <c r="E105" s="13"/>
      <c r="F105" s="13"/>
      <c r="G105" s="14"/>
    </row>
    <row r="106" spans="1:7" x14ac:dyDescent="0.25">
      <c r="A106" s="25"/>
      <c r="B106" s="13"/>
      <c r="C106" s="13"/>
      <c r="D106" s="13"/>
      <c r="E106" s="13"/>
      <c r="F106" s="13"/>
      <c r="G106" s="14"/>
    </row>
    <row r="107" spans="1:7" x14ac:dyDescent="0.25">
      <c r="A107" s="25"/>
      <c r="B107" s="13"/>
      <c r="C107" s="13"/>
      <c r="D107" s="13"/>
      <c r="E107" s="13"/>
      <c r="F107" s="13"/>
      <c r="G107" s="14"/>
    </row>
    <row r="108" spans="1:7" x14ac:dyDescent="0.25">
      <c r="A108" s="25"/>
      <c r="B108" s="13"/>
      <c r="C108" s="13"/>
      <c r="D108" s="13"/>
      <c r="E108" s="13"/>
      <c r="F108" s="13"/>
      <c r="G108" s="14"/>
    </row>
    <row r="109" spans="1:7" x14ac:dyDescent="0.25">
      <c r="A109" s="25"/>
      <c r="B109" s="13"/>
      <c r="C109" s="13"/>
      <c r="D109" s="13"/>
      <c r="E109" s="13"/>
      <c r="F109" s="13"/>
      <c r="G109" s="14"/>
    </row>
    <row r="110" spans="1:7" x14ac:dyDescent="0.25">
      <c r="A110" s="25"/>
      <c r="B110" s="13"/>
      <c r="C110" s="13"/>
      <c r="D110" s="13"/>
      <c r="E110" s="13"/>
      <c r="F110" s="13"/>
      <c r="G110" s="14"/>
    </row>
    <row r="111" spans="1:7" x14ac:dyDescent="0.25">
      <c r="A111" s="25"/>
      <c r="B111" s="13"/>
      <c r="C111" s="13"/>
      <c r="D111" s="13"/>
      <c r="E111" s="13"/>
      <c r="F111" s="13"/>
      <c r="G111" s="14"/>
    </row>
    <row r="112" spans="1:7" x14ac:dyDescent="0.25">
      <c r="A112" s="25"/>
      <c r="B112" s="13"/>
      <c r="C112" s="13"/>
      <c r="D112" s="13"/>
      <c r="E112" s="13"/>
      <c r="F112" s="13"/>
      <c r="G112" s="14"/>
    </row>
    <row r="113" spans="1:7" x14ac:dyDescent="0.25">
      <c r="A113" s="25"/>
      <c r="B113" s="13"/>
      <c r="C113" s="13"/>
      <c r="D113" s="13"/>
      <c r="E113" s="13"/>
      <c r="F113" s="13"/>
      <c r="G113" s="14"/>
    </row>
    <row r="114" spans="1:7" x14ac:dyDescent="0.25">
      <c r="A114" s="25"/>
      <c r="B114" s="13"/>
      <c r="C114" s="13"/>
      <c r="D114" s="13"/>
      <c r="E114" s="13"/>
      <c r="F114" s="13"/>
      <c r="G114" s="14"/>
    </row>
    <row r="115" spans="1:7" x14ac:dyDescent="0.25">
      <c r="A115" s="25"/>
      <c r="B115" s="13"/>
      <c r="C115" s="13"/>
      <c r="D115" s="13"/>
      <c r="E115" s="13"/>
      <c r="F115" s="13"/>
      <c r="G115" s="14"/>
    </row>
    <row r="116" spans="1:7" x14ac:dyDescent="0.25">
      <c r="A116" s="25"/>
      <c r="B116" s="13"/>
      <c r="C116" s="13"/>
      <c r="D116" s="13"/>
      <c r="E116" s="13"/>
      <c r="F116" s="13"/>
      <c r="G116" s="14"/>
    </row>
    <row r="117" spans="1:7" ht="15.75" thickBot="1" x14ac:dyDescent="0.3">
      <c r="A117" s="28"/>
      <c r="B117" s="16"/>
      <c r="C117" s="16"/>
      <c r="D117" s="16"/>
      <c r="E117" s="16"/>
      <c r="F117" s="16"/>
      <c r="G117" s="17"/>
    </row>
    <row r="122" spans="1:7" x14ac:dyDescent="0.25">
      <c r="A122" s="100" t="s">
        <v>50</v>
      </c>
      <c r="B122" s="100"/>
      <c r="C122" s="100"/>
      <c r="D122" s="100"/>
      <c r="E122" s="100"/>
      <c r="F122" s="100"/>
      <c r="G122" s="100"/>
    </row>
    <row r="123" spans="1:7" x14ac:dyDescent="0.25">
      <c r="A123" s="97" t="s">
        <v>69</v>
      </c>
      <c r="B123" s="98"/>
      <c r="C123" s="98"/>
      <c r="D123" s="98"/>
      <c r="E123" s="98"/>
      <c r="F123" s="98"/>
      <c r="G123" s="98"/>
    </row>
    <row r="124" spans="1:7" x14ac:dyDescent="0.25">
      <c r="A124" s="98"/>
      <c r="B124" s="98"/>
      <c r="C124" s="98"/>
      <c r="D124" s="98"/>
      <c r="E124" s="98"/>
      <c r="F124" s="98"/>
      <c r="G124" s="98"/>
    </row>
    <row r="125" spans="1:7" x14ac:dyDescent="0.25">
      <c r="A125" s="98"/>
      <c r="B125" s="98"/>
      <c r="C125" s="98"/>
      <c r="D125" s="98"/>
      <c r="E125" s="98"/>
      <c r="F125" s="98"/>
      <c r="G125" s="98"/>
    </row>
    <row r="126" spans="1:7" x14ac:dyDescent="0.25">
      <c r="A126" s="99" t="s">
        <v>70</v>
      </c>
      <c r="B126" s="98"/>
      <c r="C126" s="98"/>
      <c r="D126" s="98"/>
      <c r="E126" s="98"/>
      <c r="F126" s="98"/>
      <c r="G126" s="98"/>
    </row>
    <row r="127" spans="1:7" x14ac:dyDescent="0.25">
      <c r="A127" s="98"/>
      <c r="B127" s="98"/>
      <c r="C127" s="98"/>
      <c r="D127" s="98"/>
      <c r="E127" s="98"/>
      <c r="F127" s="98"/>
      <c r="G127" s="98"/>
    </row>
    <row r="128" spans="1:7" x14ac:dyDescent="0.25">
      <c r="A128" s="98"/>
      <c r="B128" s="98"/>
      <c r="C128" s="98"/>
      <c r="D128" s="98"/>
      <c r="E128" s="98"/>
      <c r="F128" s="98"/>
      <c r="G128" s="98"/>
    </row>
    <row r="129" spans="1:7" ht="15" customHeight="1" x14ac:dyDescent="0.25">
      <c r="A129" s="97" t="s">
        <v>51</v>
      </c>
      <c r="B129" s="98"/>
      <c r="C129" s="98"/>
      <c r="D129" s="98"/>
      <c r="E129" s="98"/>
      <c r="F129" s="98"/>
      <c r="G129" s="98"/>
    </row>
    <row r="130" spans="1:7" x14ac:dyDescent="0.25">
      <c r="A130" s="98"/>
      <c r="B130" s="98"/>
      <c r="C130" s="98"/>
      <c r="D130" s="98"/>
      <c r="E130" s="98"/>
      <c r="F130" s="98"/>
      <c r="G130" s="98"/>
    </row>
    <row r="131" spans="1:7" x14ac:dyDescent="0.25">
      <c r="A131" s="98"/>
      <c r="B131" s="98"/>
      <c r="C131" s="98"/>
      <c r="D131" s="98"/>
      <c r="E131" s="98"/>
      <c r="F131" s="98"/>
      <c r="G131" s="98"/>
    </row>
    <row r="132" spans="1:7" x14ac:dyDescent="0.25">
      <c r="A132" s="97" t="s">
        <v>71</v>
      </c>
      <c r="B132" s="98"/>
      <c r="C132" s="98"/>
      <c r="D132" s="98"/>
      <c r="E132" s="98"/>
      <c r="F132" s="98"/>
      <c r="G132" s="98"/>
    </row>
    <row r="133" spans="1:7" x14ac:dyDescent="0.25">
      <c r="A133" s="98"/>
      <c r="B133" s="98"/>
      <c r="C133" s="98"/>
      <c r="D133" s="98"/>
      <c r="E133" s="98"/>
      <c r="F133" s="98"/>
      <c r="G133" s="98"/>
    </row>
    <row r="134" spans="1:7" x14ac:dyDescent="0.25">
      <c r="A134" s="98"/>
      <c r="B134" s="98"/>
      <c r="C134" s="98"/>
      <c r="D134" s="98"/>
      <c r="E134" s="98"/>
      <c r="F134" s="98"/>
      <c r="G134" s="98"/>
    </row>
    <row r="135" spans="1:7" x14ac:dyDescent="0.25">
      <c r="A135" s="97" t="s">
        <v>72</v>
      </c>
      <c r="B135" s="98"/>
      <c r="C135" s="98"/>
      <c r="D135" s="98"/>
      <c r="E135" s="98"/>
      <c r="F135" s="98"/>
      <c r="G135" s="98"/>
    </row>
    <row r="136" spans="1:7" x14ac:dyDescent="0.25">
      <c r="A136" s="98"/>
      <c r="B136" s="98"/>
      <c r="C136" s="98"/>
      <c r="D136" s="98"/>
      <c r="E136" s="98"/>
      <c r="F136" s="98"/>
      <c r="G136" s="98"/>
    </row>
    <row r="137" spans="1:7" x14ac:dyDescent="0.25">
      <c r="A137" s="98"/>
      <c r="B137" s="98"/>
      <c r="C137" s="98"/>
      <c r="D137" s="98"/>
      <c r="E137" s="98"/>
      <c r="F137" s="98"/>
      <c r="G137" s="98"/>
    </row>
  </sheetData>
  <mergeCells count="11">
    <mergeCell ref="A132:G134"/>
    <mergeCell ref="A135:G137"/>
    <mergeCell ref="A122:G122"/>
    <mergeCell ref="A123:G125"/>
    <mergeCell ref="A126:G128"/>
    <mergeCell ref="A129:G131"/>
    <mergeCell ref="F4:G4"/>
    <mergeCell ref="A6:A8"/>
    <mergeCell ref="A24:G24"/>
    <mergeCell ref="A12:D12"/>
    <mergeCell ref="A17:A1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10"/>
  <sheetViews>
    <sheetView topLeftCell="A73" zoomScale="115" zoomScaleNormal="115" workbookViewId="0">
      <selection activeCell="B1" sqref="B1"/>
    </sheetView>
  </sheetViews>
  <sheetFormatPr defaultRowHeight="15" x14ac:dyDescent="0.25"/>
  <cols>
    <col min="1" max="1" width="17.140625" customWidth="1"/>
    <col min="2" max="2" width="31.140625" bestFit="1" customWidth="1"/>
    <col min="3" max="3" width="7.7109375" bestFit="1" customWidth="1"/>
    <col min="4" max="4" width="14.7109375" bestFit="1" customWidth="1"/>
    <col min="5" max="5" width="44.42578125" bestFit="1" customWidth="1"/>
    <col min="6" max="6" width="15" bestFit="1" customWidth="1"/>
    <col min="7" max="7" width="9.7109375" bestFit="1" customWidth="1"/>
    <col min="8" max="8" width="52.42578125" customWidth="1"/>
  </cols>
  <sheetData>
    <row r="1" spans="1:8" x14ac:dyDescent="0.25">
      <c r="A1" s="51" t="s">
        <v>0</v>
      </c>
      <c r="B1" s="20" t="s">
        <v>81</v>
      </c>
    </row>
    <row r="2" spans="1:8" x14ac:dyDescent="0.25">
      <c r="A2" s="3" t="s">
        <v>4</v>
      </c>
      <c r="B2" s="3" t="s">
        <v>1</v>
      </c>
      <c r="C2" s="3" t="s">
        <v>2</v>
      </c>
      <c r="D2" s="3" t="s">
        <v>3</v>
      </c>
      <c r="E2" s="3" t="s">
        <v>27</v>
      </c>
      <c r="F2" s="3" t="s">
        <v>28</v>
      </c>
      <c r="G2" s="3" t="s">
        <v>3</v>
      </c>
      <c r="H2" s="3" t="s">
        <v>65</v>
      </c>
    </row>
    <row r="3" spans="1:8" ht="17.25" x14ac:dyDescent="0.25">
      <c r="A3" s="4" t="s">
        <v>5</v>
      </c>
      <c r="B3" s="4" t="s">
        <v>6</v>
      </c>
      <c r="C3" s="5">
        <f>265/(4.56)</f>
        <v>58.114035087719301</v>
      </c>
      <c r="D3" s="6" t="s">
        <v>9</v>
      </c>
      <c r="E3" s="6" t="s">
        <v>73</v>
      </c>
      <c r="F3" s="4">
        <v>300</v>
      </c>
      <c r="G3" s="6" t="s">
        <v>8</v>
      </c>
      <c r="H3" s="43" t="s">
        <v>74</v>
      </c>
    </row>
    <row r="4" spans="1:8" ht="18.75" x14ac:dyDescent="0.35">
      <c r="A4" s="4" t="s">
        <v>11</v>
      </c>
      <c r="B4" s="4" t="s">
        <v>10</v>
      </c>
      <c r="C4" s="5">
        <f>SLOPE(B28:B35,A28:A35)</f>
        <v>0.44395514062591745</v>
      </c>
      <c r="D4" s="4" t="s">
        <v>21</v>
      </c>
      <c r="E4" s="6" t="s">
        <v>40</v>
      </c>
      <c r="F4" s="90" t="s">
        <v>105</v>
      </c>
      <c r="G4" s="91"/>
      <c r="H4" s="4" t="s">
        <v>76</v>
      </c>
    </row>
    <row r="5" spans="1:8" ht="17.25" customHeight="1" x14ac:dyDescent="0.25">
      <c r="A5" s="45" t="s">
        <v>13</v>
      </c>
      <c r="B5" s="4" t="s">
        <v>26</v>
      </c>
      <c r="C5" s="7">
        <f>1-EXP(F5*(10/24))</f>
        <v>6.7994596593289103E-2</v>
      </c>
      <c r="D5" s="4" t="s">
        <v>14</v>
      </c>
      <c r="E5" s="6" t="s">
        <v>43</v>
      </c>
      <c r="F5" s="4">
        <v>-0.16900000000000001</v>
      </c>
      <c r="G5" s="4" t="s">
        <v>15</v>
      </c>
      <c r="H5" s="52" t="s">
        <v>77</v>
      </c>
    </row>
    <row r="6" spans="1:8" x14ac:dyDescent="0.25">
      <c r="A6" s="102" t="s">
        <v>12</v>
      </c>
      <c r="B6" s="4" t="s">
        <v>16</v>
      </c>
      <c r="C6" s="4">
        <v>50</v>
      </c>
      <c r="D6" s="4" t="s">
        <v>23</v>
      </c>
      <c r="E6" s="4" t="s">
        <v>79</v>
      </c>
      <c r="F6" s="4">
        <v>50</v>
      </c>
      <c r="G6" s="4" t="s">
        <v>23</v>
      </c>
      <c r="H6" s="4" t="s">
        <v>78</v>
      </c>
    </row>
    <row r="7" spans="1:8" x14ac:dyDescent="0.25">
      <c r="A7" s="102"/>
      <c r="B7" s="4" t="s">
        <v>17</v>
      </c>
      <c r="C7" s="4">
        <v>5</v>
      </c>
      <c r="D7" s="4" t="s">
        <v>23</v>
      </c>
      <c r="E7" s="4" t="s">
        <v>79</v>
      </c>
      <c r="F7" s="4">
        <v>5</v>
      </c>
      <c r="G7" s="4" t="s">
        <v>23</v>
      </c>
      <c r="H7" s="4" t="s">
        <v>78</v>
      </c>
    </row>
    <row r="8" spans="1:8" ht="30" x14ac:dyDescent="0.25">
      <c r="A8" s="102"/>
      <c r="B8" s="4" t="s">
        <v>18</v>
      </c>
      <c r="C8" s="4">
        <f>AVERAGE(35,25)</f>
        <v>30</v>
      </c>
      <c r="D8" s="4" t="s">
        <v>23</v>
      </c>
      <c r="E8" s="4" t="s">
        <v>38</v>
      </c>
      <c r="F8" s="32" t="s">
        <v>75</v>
      </c>
      <c r="G8" s="4" t="s">
        <v>23</v>
      </c>
      <c r="H8" s="53" t="s">
        <v>80</v>
      </c>
    </row>
    <row r="12" spans="1:8" x14ac:dyDescent="0.25">
      <c r="A12" s="101" t="s">
        <v>57</v>
      </c>
      <c r="B12" s="101"/>
      <c r="C12" s="101"/>
      <c r="D12" s="101"/>
    </row>
    <row r="13" spans="1:8" x14ac:dyDescent="0.25">
      <c r="A13" s="3" t="s">
        <v>4</v>
      </c>
      <c r="B13" s="3" t="s">
        <v>1</v>
      </c>
      <c r="C13" s="3" t="s">
        <v>2</v>
      </c>
      <c r="D13" s="3" t="s">
        <v>3</v>
      </c>
    </row>
    <row r="14" spans="1:8" ht="17.25" x14ac:dyDescent="0.25">
      <c r="A14" s="4" t="s">
        <v>5</v>
      </c>
      <c r="B14" s="4" t="s">
        <v>6</v>
      </c>
      <c r="C14" s="5">
        <f>287.28/4.56</f>
        <v>63</v>
      </c>
      <c r="D14" s="6" t="s">
        <v>9</v>
      </c>
    </row>
    <row r="15" spans="1:8" ht="18" x14ac:dyDescent="0.35">
      <c r="A15" s="4" t="s">
        <v>11</v>
      </c>
      <c r="B15" s="4" t="s">
        <v>10</v>
      </c>
      <c r="C15" s="5">
        <v>0.55000000000000004</v>
      </c>
      <c r="D15" s="4" t="s">
        <v>21</v>
      </c>
    </row>
    <row r="16" spans="1:8" x14ac:dyDescent="0.25">
      <c r="A16" s="45" t="s">
        <v>13</v>
      </c>
      <c r="B16" s="4" t="s">
        <v>26</v>
      </c>
      <c r="C16" s="7">
        <v>0.08</v>
      </c>
      <c r="D16" s="4" t="s">
        <v>14</v>
      </c>
    </row>
    <row r="17" spans="1:7" x14ac:dyDescent="0.25">
      <c r="A17" s="102" t="s">
        <v>12</v>
      </c>
      <c r="B17" s="4" t="s">
        <v>16</v>
      </c>
      <c r="C17" s="4">
        <v>50</v>
      </c>
      <c r="D17" s="4" t="s">
        <v>23</v>
      </c>
    </row>
    <row r="18" spans="1:7" x14ac:dyDescent="0.25">
      <c r="A18" s="102"/>
      <c r="B18" s="4" t="s">
        <v>17</v>
      </c>
      <c r="C18" s="4">
        <v>5</v>
      </c>
      <c r="D18" s="4" t="s">
        <v>23</v>
      </c>
    </row>
    <row r="19" spans="1:7" x14ac:dyDescent="0.25">
      <c r="A19" s="102"/>
      <c r="B19" s="4" t="s">
        <v>18</v>
      </c>
      <c r="C19" s="4">
        <v>31</v>
      </c>
      <c r="D19" s="4" t="s">
        <v>23</v>
      </c>
    </row>
    <row r="23" spans="1:7" ht="15.75" thickBot="1" x14ac:dyDescent="0.3"/>
    <row r="24" spans="1:7" ht="15.75" thickBot="1" x14ac:dyDescent="0.3">
      <c r="A24" s="94" t="s">
        <v>29</v>
      </c>
      <c r="B24" s="95"/>
      <c r="C24" s="95"/>
      <c r="D24" s="95"/>
      <c r="E24" s="95"/>
      <c r="F24" s="95"/>
      <c r="G24" s="96"/>
    </row>
    <row r="25" spans="1:7" x14ac:dyDescent="0.25">
      <c r="A25" s="34"/>
      <c r="B25" s="35"/>
      <c r="C25" s="35"/>
      <c r="D25" s="35"/>
      <c r="E25" s="35"/>
      <c r="F25" s="35"/>
      <c r="G25" s="36"/>
    </row>
    <row r="26" spans="1:7" x14ac:dyDescent="0.25">
      <c r="A26" s="25"/>
      <c r="B26" s="26"/>
      <c r="C26" s="26"/>
      <c r="D26" s="26"/>
      <c r="E26" s="26"/>
      <c r="F26" s="26"/>
      <c r="G26" s="27"/>
    </row>
    <row r="27" spans="1:7" x14ac:dyDescent="0.25">
      <c r="A27" s="18" t="s">
        <v>41</v>
      </c>
      <c r="B27" s="3" t="s">
        <v>42</v>
      </c>
      <c r="C27" s="26"/>
      <c r="D27" s="26"/>
      <c r="E27" s="26"/>
      <c r="F27" s="26"/>
      <c r="G27" s="27"/>
    </row>
    <row r="28" spans="1:7" x14ac:dyDescent="0.25">
      <c r="A28" s="37">
        <v>0.21</v>
      </c>
      <c r="B28" s="33">
        <v>0.09</v>
      </c>
      <c r="C28" s="26"/>
      <c r="D28" s="26"/>
      <c r="E28" s="26"/>
      <c r="F28" s="26"/>
      <c r="G28" s="27"/>
    </row>
    <row r="29" spans="1:7" x14ac:dyDescent="0.25">
      <c r="A29" s="37">
        <v>0.36</v>
      </c>
      <c r="B29" s="33">
        <v>0.15</v>
      </c>
      <c r="C29" s="26"/>
      <c r="D29" s="26"/>
      <c r="E29" s="26"/>
      <c r="F29" s="26"/>
      <c r="G29" s="27"/>
    </row>
    <row r="30" spans="1:7" x14ac:dyDescent="0.25">
      <c r="A30" s="37">
        <v>0.4</v>
      </c>
      <c r="B30" s="33">
        <v>0.16</v>
      </c>
      <c r="C30" s="26"/>
      <c r="D30" s="26"/>
      <c r="E30" s="26"/>
      <c r="F30" s="26"/>
      <c r="G30" s="27"/>
    </row>
    <row r="31" spans="1:7" x14ac:dyDescent="0.25">
      <c r="A31" s="37">
        <v>0.44</v>
      </c>
      <c r="B31" s="33">
        <v>0.18</v>
      </c>
      <c r="C31" s="26"/>
      <c r="D31" s="26"/>
      <c r="E31" s="26"/>
      <c r="F31" s="26"/>
      <c r="G31" s="27"/>
    </row>
    <row r="32" spans="1:7" x14ac:dyDescent="0.25">
      <c r="A32" s="37">
        <v>0.59</v>
      </c>
      <c r="B32" s="33">
        <v>0.2</v>
      </c>
      <c r="C32" s="26"/>
      <c r="D32" s="26"/>
      <c r="E32" s="26"/>
      <c r="F32" s="26"/>
      <c r="G32" s="27"/>
    </row>
    <row r="33" spans="1:7" x14ac:dyDescent="0.25">
      <c r="A33" s="37">
        <v>0.65</v>
      </c>
      <c r="B33" s="33">
        <v>0.27</v>
      </c>
      <c r="C33" s="26"/>
      <c r="D33" s="26"/>
      <c r="E33" s="26"/>
      <c r="F33" s="26"/>
      <c r="G33" s="27"/>
    </row>
    <row r="34" spans="1:7" x14ac:dyDescent="0.25">
      <c r="A34" s="37">
        <v>0.67</v>
      </c>
      <c r="B34" s="33">
        <v>0.28999999999999998</v>
      </c>
      <c r="C34" s="26"/>
      <c r="D34" s="26"/>
      <c r="E34" s="26"/>
      <c r="F34" s="26"/>
      <c r="G34" s="27"/>
    </row>
    <row r="35" spans="1:7" x14ac:dyDescent="0.25">
      <c r="A35" s="37">
        <v>0.69</v>
      </c>
      <c r="B35" s="33">
        <v>0.33</v>
      </c>
      <c r="C35" s="26"/>
      <c r="D35" s="26"/>
      <c r="E35" s="26"/>
      <c r="F35" s="26"/>
      <c r="G35" s="27"/>
    </row>
    <row r="36" spans="1:7" x14ac:dyDescent="0.25">
      <c r="A36" s="25"/>
      <c r="B36" s="26"/>
      <c r="C36" s="26"/>
      <c r="D36" s="26"/>
      <c r="E36" s="26"/>
      <c r="F36" s="26"/>
      <c r="G36" s="27"/>
    </row>
    <row r="37" spans="1:7" x14ac:dyDescent="0.25">
      <c r="A37" s="25"/>
      <c r="B37" s="26"/>
      <c r="C37" s="26"/>
      <c r="D37" s="26"/>
      <c r="E37" s="26"/>
      <c r="F37" s="26"/>
      <c r="G37" s="27"/>
    </row>
    <row r="38" spans="1:7" x14ac:dyDescent="0.25">
      <c r="A38" s="25"/>
      <c r="B38" s="26"/>
      <c r="C38" s="26"/>
      <c r="D38" s="26"/>
      <c r="E38" s="26"/>
      <c r="F38" s="26"/>
      <c r="G38" s="27"/>
    </row>
    <row r="39" spans="1:7" x14ac:dyDescent="0.25">
      <c r="A39" s="25"/>
      <c r="B39" s="26"/>
      <c r="C39" s="26"/>
      <c r="D39" s="26"/>
      <c r="E39" s="26"/>
      <c r="F39" s="26"/>
      <c r="G39" s="27"/>
    </row>
    <row r="40" spans="1:7" x14ac:dyDescent="0.25">
      <c r="A40" s="25"/>
      <c r="B40" s="26"/>
      <c r="C40" s="26"/>
      <c r="D40" s="26"/>
      <c r="E40" s="26"/>
      <c r="F40" s="26"/>
      <c r="G40" s="27"/>
    </row>
    <row r="41" spans="1:7" x14ac:dyDescent="0.25">
      <c r="A41" s="25"/>
      <c r="B41" s="26"/>
      <c r="C41" s="26"/>
      <c r="D41" s="26"/>
      <c r="E41" s="26"/>
      <c r="F41" s="26"/>
      <c r="G41" s="27"/>
    </row>
    <row r="42" spans="1:7" x14ac:dyDescent="0.25">
      <c r="A42" s="25"/>
      <c r="B42" s="26"/>
      <c r="C42" s="26"/>
      <c r="D42" s="26"/>
      <c r="E42" s="26"/>
      <c r="F42" s="26"/>
      <c r="G42" s="27"/>
    </row>
    <row r="43" spans="1:7" x14ac:dyDescent="0.25">
      <c r="A43" s="25"/>
      <c r="B43" s="26"/>
      <c r="C43" s="26"/>
      <c r="D43" s="26"/>
      <c r="E43" s="26"/>
      <c r="F43" s="26"/>
      <c r="G43" s="27"/>
    </row>
    <row r="44" spans="1:7" x14ac:dyDescent="0.25">
      <c r="A44" s="25"/>
      <c r="B44" s="26"/>
      <c r="C44" s="26"/>
      <c r="D44" s="26"/>
      <c r="E44" s="26"/>
      <c r="F44" s="26"/>
      <c r="G44" s="27"/>
    </row>
    <row r="45" spans="1:7" x14ac:dyDescent="0.25">
      <c r="A45" s="25"/>
      <c r="B45" s="26"/>
      <c r="C45" s="26"/>
      <c r="D45" s="26"/>
      <c r="E45" s="26"/>
      <c r="F45" s="26"/>
      <c r="G45" s="27"/>
    </row>
    <row r="46" spans="1:7" x14ac:dyDescent="0.25">
      <c r="A46" s="25"/>
      <c r="B46" s="26"/>
      <c r="C46" s="26"/>
      <c r="D46" s="26"/>
      <c r="E46" s="26"/>
      <c r="F46" s="26"/>
      <c r="G46" s="27"/>
    </row>
    <row r="47" spans="1:7" x14ac:dyDescent="0.25">
      <c r="A47" s="25"/>
      <c r="B47" s="26"/>
      <c r="C47" s="26"/>
      <c r="D47" s="26"/>
      <c r="E47" s="26"/>
      <c r="F47" s="26"/>
      <c r="G47" s="27"/>
    </row>
    <row r="48" spans="1:7" x14ac:dyDescent="0.25">
      <c r="A48" s="25"/>
      <c r="B48" s="26"/>
      <c r="C48" s="26"/>
      <c r="D48" s="26"/>
      <c r="E48" s="26"/>
      <c r="F48" s="26"/>
      <c r="G48" s="27"/>
    </row>
    <row r="49" spans="1:7" x14ac:dyDescent="0.25">
      <c r="A49" s="25"/>
      <c r="B49" s="26"/>
      <c r="C49" s="26"/>
      <c r="D49" s="26"/>
      <c r="E49" s="26"/>
      <c r="F49" s="26"/>
      <c r="G49" s="27"/>
    </row>
    <row r="50" spans="1:7" x14ac:dyDescent="0.25">
      <c r="A50" s="25"/>
      <c r="B50" s="26"/>
      <c r="C50" s="26"/>
      <c r="D50" s="26"/>
      <c r="E50" s="26"/>
      <c r="F50" s="26"/>
      <c r="G50" s="27"/>
    </row>
    <row r="51" spans="1:7" x14ac:dyDescent="0.25">
      <c r="A51" s="25"/>
      <c r="B51" s="26"/>
      <c r="C51" s="26"/>
      <c r="D51" s="26"/>
      <c r="E51" s="26"/>
      <c r="F51" s="26"/>
      <c r="G51" s="27"/>
    </row>
    <row r="52" spans="1:7" x14ac:dyDescent="0.25">
      <c r="A52" s="25"/>
      <c r="B52" s="26"/>
      <c r="C52" s="26"/>
      <c r="D52" s="26"/>
      <c r="E52" s="26"/>
      <c r="F52" s="26"/>
      <c r="G52" s="27"/>
    </row>
    <row r="53" spans="1:7" x14ac:dyDescent="0.25">
      <c r="A53" s="25"/>
      <c r="B53" s="26"/>
      <c r="C53" s="26"/>
      <c r="D53" s="26"/>
      <c r="E53" s="26"/>
      <c r="F53" s="26"/>
      <c r="G53" s="27"/>
    </row>
    <row r="54" spans="1:7" x14ac:dyDescent="0.25">
      <c r="A54" s="25"/>
      <c r="B54" s="26"/>
      <c r="C54" s="26"/>
      <c r="D54" s="26"/>
      <c r="E54" s="26"/>
      <c r="F54" s="26"/>
      <c r="G54" s="27"/>
    </row>
    <row r="55" spans="1:7" x14ac:dyDescent="0.25">
      <c r="A55" s="25"/>
      <c r="B55" s="26"/>
      <c r="C55" s="26"/>
      <c r="D55" s="26"/>
      <c r="E55" s="26"/>
      <c r="F55" s="26"/>
      <c r="G55" s="27"/>
    </row>
    <row r="56" spans="1:7" x14ac:dyDescent="0.25">
      <c r="A56" s="25"/>
      <c r="B56" s="26"/>
      <c r="C56" s="26"/>
      <c r="D56" s="26"/>
      <c r="E56" s="26"/>
      <c r="F56" s="26"/>
      <c r="G56" s="27"/>
    </row>
    <row r="57" spans="1:7" x14ac:dyDescent="0.25">
      <c r="A57" s="25"/>
      <c r="B57" s="26"/>
      <c r="C57" s="26"/>
      <c r="D57" s="26"/>
      <c r="E57" s="26"/>
      <c r="F57" s="26"/>
      <c r="G57" s="27"/>
    </row>
    <row r="58" spans="1:7" x14ac:dyDescent="0.25">
      <c r="A58" s="25"/>
      <c r="B58" s="26"/>
      <c r="C58" s="26"/>
      <c r="D58" s="26"/>
      <c r="E58" s="26"/>
      <c r="F58" s="26"/>
      <c r="G58" s="27"/>
    </row>
    <row r="59" spans="1:7" x14ac:dyDescent="0.25">
      <c r="A59" s="25"/>
      <c r="B59" s="26"/>
      <c r="C59" s="26"/>
      <c r="D59" s="26"/>
      <c r="E59" s="26"/>
      <c r="F59" s="26"/>
      <c r="G59" s="27"/>
    </row>
    <row r="60" spans="1:7" x14ac:dyDescent="0.25">
      <c r="A60" s="25"/>
      <c r="B60" s="26"/>
      <c r="C60" s="26"/>
      <c r="D60" s="26"/>
      <c r="E60" s="26"/>
      <c r="F60" s="26"/>
      <c r="G60" s="27"/>
    </row>
    <row r="61" spans="1:7" x14ac:dyDescent="0.25">
      <c r="A61" s="25"/>
      <c r="B61" s="26"/>
      <c r="C61" s="26"/>
      <c r="D61" s="26"/>
      <c r="E61" s="26"/>
      <c r="F61" s="26"/>
      <c r="G61" s="27"/>
    </row>
    <row r="62" spans="1:7" x14ac:dyDescent="0.25">
      <c r="A62" s="25"/>
      <c r="B62" s="26"/>
      <c r="C62" s="26"/>
      <c r="D62" s="26"/>
      <c r="E62" s="26"/>
      <c r="F62" s="26"/>
      <c r="G62" s="27"/>
    </row>
    <row r="63" spans="1:7" x14ac:dyDescent="0.25">
      <c r="A63" s="25"/>
      <c r="B63" s="26"/>
      <c r="C63" s="26"/>
      <c r="D63" s="26"/>
      <c r="E63" s="26"/>
      <c r="F63" s="26"/>
      <c r="G63" s="27"/>
    </row>
    <row r="64" spans="1:7" x14ac:dyDescent="0.25">
      <c r="A64" s="25"/>
      <c r="B64" s="26"/>
      <c r="C64" s="26"/>
      <c r="D64" s="26"/>
      <c r="E64" s="26"/>
      <c r="F64" s="26"/>
      <c r="G64" s="27"/>
    </row>
    <row r="65" spans="1:7" x14ac:dyDescent="0.25">
      <c r="A65" s="25"/>
      <c r="B65" s="26"/>
      <c r="C65" s="26"/>
      <c r="D65" s="26"/>
      <c r="E65" s="26"/>
      <c r="F65" s="26"/>
      <c r="G65" s="27"/>
    </row>
    <row r="66" spans="1:7" x14ac:dyDescent="0.25">
      <c r="A66" s="25"/>
      <c r="B66" s="26"/>
      <c r="C66" s="26"/>
      <c r="D66" s="26"/>
      <c r="E66" s="26"/>
      <c r="F66" s="26"/>
      <c r="G66" s="27"/>
    </row>
    <row r="67" spans="1:7" x14ac:dyDescent="0.25">
      <c r="A67" s="25"/>
      <c r="B67" s="26"/>
      <c r="C67" s="26"/>
      <c r="D67" s="26"/>
      <c r="E67" s="26"/>
      <c r="F67" s="26"/>
      <c r="G67" s="27"/>
    </row>
    <row r="68" spans="1:7" x14ac:dyDescent="0.25">
      <c r="A68" s="25"/>
      <c r="B68" s="26"/>
      <c r="C68" s="26"/>
      <c r="D68" s="26"/>
      <c r="E68" s="26"/>
      <c r="F68" s="26"/>
      <c r="G68" s="27"/>
    </row>
    <row r="69" spans="1:7" x14ac:dyDescent="0.25">
      <c r="A69" s="25"/>
      <c r="B69" s="26"/>
      <c r="C69" s="26"/>
      <c r="D69" s="26"/>
      <c r="E69" s="26"/>
      <c r="F69" s="26"/>
      <c r="G69" s="27"/>
    </row>
    <row r="70" spans="1:7" x14ac:dyDescent="0.25">
      <c r="A70" s="25"/>
      <c r="B70" s="26"/>
      <c r="C70" s="26"/>
      <c r="D70" s="26"/>
      <c r="E70" s="26"/>
      <c r="F70" s="26"/>
      <c r="G70" s="27"/>
    </row>
    <row r="71" spans="1:7" x14ac:dyDescent="0.25">
      <c r="A71" s="25"/>
      <c r="B71" s="26"/>
      <c r="C71" s="26"/>
      <c r="D71" s="26"/>
      <c r="E71" s="26"/>
      <c r="F71" s="26"/>
      <c r="G71" s="27"/>
    </row>
    <row r="72" spans="1:7" x14ac:dyDescent="0.25">
      <c r="A72" s="25"/>
      <c r="B72" s="26"/>
      <c r="C72" s="26"/>
      <c r="D72" s="26"/>
      <c r="E72" s="26"/>
      <c r="F72" s="26"/>
      <c r="G72" s="27"/>
    </row>
    <row r="73" spans="1:7" x14ac:dyDescent="0.25">
      <c r="A73" s="25"/>
      <c r="B73" s="26"/>
      <c r="C73" s="26"/>
      <c r="D73" s="26"/>
      <c r="E73" s="26"/>
      <c r="F73" s="26"/>
      <c r="G73" s="27"/>
    </row>
    <row r="74" spans="1:7" x14ac:dyDescent="0.25">
      <c r="A74" s="25"/>
      <c r="B74" s="26"/>
      <c r="C74" s="26"/>
      <c r="D74" s="26"/>
      <c r="E74" s="26"/>
      <c r="F74" s="26"/>
      <c r="G74" s="27"/>
    </row>
    <row r="75" spans="1:7" x14ac:dyDescent="0.25">
      <c r="A75" s="25"/>
      <c r="B75" s="26"/>
      <c r="C75" s="26"/>
      <c r="D75" s="26"/>
      <c r="E75" s="26"/>
      <c r="F75" s="26"/>
      <c r="G75" s="27"/>
    </row>
    <row r="76" spans="1:7" x14ac:dyDescent="0.25">
      <c r="A76" s="25"/>
      <c r="B76" s="26"/>
      <c r="C76" s="26"/>
      <c r="D76" s="26"/>
      <c r="E76" s="26"/>
      <c r="F76" s="26"/>
      <c r="G76" s="27"/>
    </row>
    <row r="77" spans="1:7" x14ac:dyDescent="0.25">
      <c r="A77" s="25"/>
      <c r="B77" s="26"/>
      <c r="C77" s="26"/>
      <c r="D77" s="26"/>
      <c r="E77" s="26"/>
      <c r="F77" s="26"/>
      <c r="G77" s="27"/>
    </row>
    <row r="78" spans="1:7" x14ac:dyDescent="0.25">
      <c r="A78" s="25"/>
      <c r="B78" s="26"/>
      <c r="C78" s="26"/>
      <c r="D78" s="26"/>
      <c r="E78" s="26"/>
      <c r="F78" s="26"/>
      <c r="G78" s="27"/>
    </row>
    <row r="79" spans="1:7" x14ac:dyDescent="0.25">
      <c r="A79" s="25"/>
      <c r="B79" s="26"/>
      <c r="C79" s="26"/>
      <c r="D79" s="26"/>
      <c r="E79" s="26"/>
      <c r="F79" s="26"/>
      <c r="G79" s="27"/>
    </row>
    <row r="80" spans="1:7" x14ac:dyDescent="0.25">
      <c r="A80" s="25"/>
      <c r="B80" s="26"/>
      <c r="C80" s="26"/>
      <c r="D80" s="26"/>
      <c r="E80" s="26"/>
      <c r="F80" s="26"/>
      <c r="G80" s="27"/>
    </row>
    <row r="81" spans="1:7" x14ac:dyDescent="0.25">
      <c r="A81" s="25"/>
      <c r="B81" s="26"/>
      <c r="C81" s="26"/>
      <c r="D81" s="26"/>
      <c r="E81" s="26"/>
      <c r="F81" s="26"/>
      <c r="G81" s="27"/>
    </row>
    <row r="82" spans="1:7" x14ac:dyDescent="0.25">
      <c r="A82" s="25"/>
      <c r="B82" s="26"/>
      <c r="C82" s="26"/>
      <c r="D82" s="26"/>
      <c r="E82" s="26"/>
      <c r="F82" s="26"/>
      <c r="G82" s="27"/>
    </row>
    <row r="83" spans="1:7" x14ac:dyDescent="0.25">
      <c r="A83" s="25"/>
      <c r="B83" s="26"/>
      <c r="C83" s="26"/>
      <c r="D83" s="26"/>
      <c r="E83" s="26"/>
      <c r="F83" s="26"/>
      <c r="G83" s="27"/>
    </row>
    <row r="84" spans="1:7" x14ac:dyDescent="0.25">
      <c r="A84" s="25"/>
      <c r="B84" s="26"/>
      <c r="C84" s="26"/>
      <c r="D84" s="26"/>
      <c r="E84" s="26"/>
      <c r="F84" s="26"/>
      <c r="G84" s="27"/>
    </row>
    <row r="85" spans="1:7" x14ac:dyDescent="0.25">
      <c r="A85" s="25"/>
      <c r="B85" s="26"/>
      <c r="C85" s="26"/>
      <c r="D85" s="26"/>
      <c r="E85" s="26"/>
      <c r="F85" s="26"/>
      <c r="G85" s="27"/>
    </row>
    <row r="86" spans="1:7" x14ac:dyDescent="0.25">
      <c r="A86" s="25"/>
      <c r="B86" s="26"/>
      <c r="C86" s="26"/>
      <c r="D86" s="26"/>
      <c r="E86" s="26"/>
      <c r="F86" s="26"/>
      <c r="G86" s="27"/>
    </row>
    <row r="87" spans="1:7" x14ac:dyDescent="0.25">
      <c r="A87" s="25"/>
      <c r="B87" s="26"/>
      <c r="C87" s="26"/>
      <c r="D87" s="26"/>
      <c r="E87" s="26"/>
      <c r="F87" s="26"/>
      <c r="G87" s="27"/>
    </row>
    <row r="88" spans="1:7" x14ac:dyDescent="0.25">
      <c r="A88" s="25"/>
      <c r="B88" s="26"/>
      <c r="C88" s="26"/>
      <c r="D88" s="26"/>
      <c r="E88" s="26"/>
      <c r="F88" s="26"/>
      <c r="G88" s="27"/>
    </row>
    <row r="89" spans="1:7" x14ac:dyDescent="0.25">
      <c r="A89" s="25"/>
      <c r="B89" s="26"/>
      <c r="C89" s="26"/>
      <c r="D89" s="26"/>
      <c r="E89" s="26"/>
      <c r="F89" s="26"/>
      <c r="G89" s="27"/>
    </row>
    <row r="90" spans="1:7" x14ac:dyDescent="0.25">
      <c r="A90" s="25"/>
      <c r="B90" s="26"/>
      <c r="C90" s="26"/>
      <c r="D90" s="26"/>
      <c r="E90" s="26"/>
      <c r="F90" s="26"/>
      <c r="G90" s="27"/>
    </row>
    <row r="91" spans="1:7" ht="15.75" thickBot="1" x14ac:dyDescent="0.3">
      <c r="A91" s="28"/>
      <c r="B91" s="29"/>
      <c r="C91" s="29"/>
      <c r="D91" s="29"/>
      <c r="E91" s="29"/>
      <c r="F91" s="29"/>
      <c r="G91" s="30"/>
    </row>
    <row r="95" spans="1:7" x14ac:dyDescent="0.25">
      <c r="A95" s="100" t="s">
        <v>50</v>
      </c>
      <c r="B95" s="100"/>
      <c r="C95" s="100"/>
      <c r="D95" s="100"/>
      <c r="E95" s="100"/>
      <c r="F95" s="100"/>
      <c r="G95" s="100"/>
    </row>
    <row r="96" spans="1:7" x14ac:dyDescent="0.25">
      <c r="A96" s="97" t="s">
        <v>82</v>
      </c>
      <c r="B96" s="98"/>
      <c r="C96" s="98"/>
      <c r="D96" s="98"/>
      <c r="E96" s="98"/>
      <c r="F96" s="98"/>
      <c r="G96" s="98"/>
    </row>
    <row r="97" spans="1:7" x14ac:dyDescent="0.25">
      <c r="A97" s="98"/>
      <c r="B97" s="98"/>
      <c r="C97" s="98"/>
      <c r="D97" s="98"/>
      <c r="E97" s="98"/>
      <c r="F97" s="98"/>
      <c r="G97" s="98"/>
    </row>
    <row r="98" spans="1:7" x14ac:dyDescent="0.25">
      <c r="A98" s="98"/>
      <c r="B98" s="98"/>
      <c r="C98" s="98"/>
      <c r="D98" s="98"/>
      <c r="E98" s="98"/>
      <c r="F98" s="98"/>
      <c r="G98" s="98"/>
    </row>
    <row r="99" spans="1:7" x14ac:dyDescent="0.25">
      <c r="A99" s="99" t="s">
        <v>83</v>
      </c>
      <c r="B99" s="98"/>
      <c r="C99" s="98"/>
      <c r="D99" s="98"/>
      <c r="E99" s="98"/>
      <c r="F99" s="98"/>
      <c r="G99" s="98"/>
    </row>
    <row r="100" spans="1:7" x14ac:dyDescent="0.25">
      <c r="A100" s="98"/>
      <c r="B100" s="98"/>
      <c r="C100" s="98"/>
      <c r="D100" s="98"/>
      <c r="E100" s="98"/>
      <c r="F100" s="98"/>
      <c r="G100" s="98"/>
    </row>
    <row r="101" spans="1:7" x14ac:dyDescent="0.25">
      <c r="A101" s="98"/>
      <c r="B101" s="98"/>
      <c r="C101" s="98"/>
      <c r="D101" s="98"/>
      <c r="E101" s="98"/>
      <c r="F101" s="98"/>
      <c r="G101" s="98"/>
    </row>
    <row r="102" spans="1:7" x14ac:dyDescent="0.25">
      <c r="A102" s="97" t="s">
        <v>84</v>
      </c>
      <c r="B102" s="98"/>
      <c r="C102" s="98"/>
      <c r="D102" s="98"/>
      <c r="E102" s="98"/>
      <c r="F102" s="98"/>
      <c r="G102" s="98"/>
    </row>
    <row r="103" spans="1:7" x14ac:dyDescent="0.25">
      <c r="A103" s="98"/>
      <c r="B103" s="98"/>
      <c r="C103" s="98"/>
      <c r="D103" s="98"/>
      <c r="E103" s="98"/>
      <c r="F103" s="98"/>
      <c r="G103" s="98"/>
    </row>
    <row r="104" spans="1:7" x14ac:dyDescent="0.25">
      <c r="A104" s="98"/>
      <c r="B104" s="98"/>
      <c r="C104" s="98"/>
      <c r="D104" s="98"/>
      <c r="E104" s="98"/>
      <c r="F104" s="98"/>
      <c r="G104" s="98"/>
    </row>
    <row r="105" spans="1:7" x14ac:dyDescent="0.25">
      <c r="A105" s="97" t="s">
        <v>85</v>
      </c>
      <c r="B105" s="98"/>
      <c r="C105" s="98"/>
      <c r="D105" s="98"/>
      <c r="E105" s="98"/>
      <c r="F105" s="98"/>
      <c r="G105" s="98"/>
    </row>
    <row r="106" spans="1:7" x14ac:dyDescent="0.25">
      <c r="A106" s="98"/>
      <c r="B106" s="98"/>
      <c r="C106" s="98"/>
      <c r="D106" s="98"/>
      <c r="E106" s="98"/>
      <c r="F106" s="98"/>
      <c r="G106" s="98"/>
    </row>
    <row r="107" spans="1:7" x14ac:dyDescent="0.25">
      <c r="A107" s="98"/>
      <c r="B107" s="98"/>
      <c r="C107" s="98"/>
      <c r="D107" s="98"/>
      <c r="E107" s="98"/>
      <c r="F107" s="98"/>
      <c r="G107" s="98"/>
    </row>
    <row r="108" spans="1:7" x14ac:dyDescent="0.25">
      <c r="A108" s="31"/>
      <c r="B108" s="31"/>
      <c r="C108" s="31"/>
      <c r="D108" s="31"/>
      <c r="E108" s="31"/>
      <c r="F108" s="31"/>
      <c r="G108" s="31"/>
    </row>
    <row r="109" spans="1:7" x14ac:dyDescent="0.25">
      <c r="A109" s="31"/>
      <c r="B109" s="31"/>
      <c r="C109" s="31"/>
      <c r="D109" s="31"/>
      <c r="E109" s="31"/>
      <c r="F109" s="31"/>
      <c r="G109" s="31"/>
    </row>
    <row r="110" spans="1:7" x14ac:dyDescent="0.25">
      <c r="A110" s="31"/>
      <c r="B110" s="31"/>
      <c r="C110" s="31"/>
      <c r="D110" s="31"/>
      <c r="E110" s="31"/>
      <c r="F110" s="31"/>
      <c r="G110" s="31"/>
    </row>
  </sheetData>
  <mergeCells count="10">
    <mergeCell ref="A95:G95"/>
    <mergeCell ref="A96:G98"/>
    <mergeCell ref="A99:G101"/>
    <mergeCell ref="A102:G104"/>
    <mergeCell ref="A105:G107"/>
    <mergeCell ref="F4:G4"/>
    <mergeCell ref="A6:A8"/>
    <mergeCell ref="A24:G24"/>
    <mergeCell ref="A12:D12"/>
    <mergeCell ref="A17:A1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108"/>
  <sheetViews>
    <sheetView topLeftCell="A10" zoomScaleNormal="100" workbookViewId="0">
      <selection activeCell="B1" sqref="B1"/>
    </sheetView>
  </sheetViews>
  <sheetFormatPr defaultRowHeight="15" x14ac:dyDescent="0.25"/>
  <cols>
    <col min="1" max="1" width="31.5703125" bestFit="1" customWidth="1"/>
    <col min="2" max="2" width="31.140625" bestFit="1" customWidth="1"/>
    <col min="3" max="3" width="12" customWidth="1"/>
    <col min="4" max="4" width="15.7109375" customWidth="1"/>
    <col min="5" max="5" width="29" customWidth="1"/>
    <col min="6" max="6" width="14.85546875" customWidth="1"/>
    <col min="7" max="7" width="11" customWidth="1"/>
    <col min="8" max="8" width="67.85546875" customWidth="1"/>
    <col min="14" max="14" width="21" bestFit="1" customWidth="1"/>
    <col min="15" max="15" width="13.7109375" bestFit="1" customWidth="1"/>
    <col min="16" max="16" width="14.140625" bestFit="1" customWidth="1"/>
  </cols>
  <sheetData>
    <row r="1" spans="1:9" x14ac:dyDescent="0.25">
      <c r="A1" s="2" t="s">
        <v>0</v>
      </c>
      <c r="B1" s="20" t="s">
        <v>116</v>
      </c>
    </row>
    <row r="2" spans="1:9" x14ac:dyDescent="0.25">
      <c r="A2" s="3" t="s">
        <v>4</v>
      </c>
      <c r="B2" s="3" t="s">
        <v>1</v>
      </c>
      <c r="C2" s="3" t="s">
        <v>2</v>
      </c>
      <c r="D2" s="3" t="s">
        <v>3</v>
      </c>
      <c r="E2" s="3" t="s">
        <v>27</v>
      </c>
      <c r="F2" s="3" t="s">
        <v>28</v>
      </c>
      <c r="G2" s="3" t="s">
        <v>3</v>
      </c>
      <c r="H2" s="3" t="s">
        <v>65</v>
      </c>
    </row>
    <row r="3" spans="1:9" ht="17.25" x14ac:dyDescent="0.25">
      <c r="A3" s="4" t="s">
        <v>5</v>
      </c>
      <c r="B3" s="4" t="s">
        <v>6</v>
      </c>
      <c r="C3" s="5">
        <f>230/(4.56)</f>
        <v>50.438596491228076</v>
      </c>
      <c r="D3" s="6" t="s">
        <v>9</v>
      </c>
      <c r="E3" s="6" t="s">
        <v>92</v>
      </c>
      <c r="F3" s="4">
        <v>230</v>
      </c>
      <c r="G3" s="6" t="s">
        <v>8</v>
      </c>
      <c r="H3" s="43" t="s">
        <v>106</v>
      </c>
    </row>
    <row r="4" spans="1:9" ht="18" x14ac:dyDescent="0.35">
      <c r="A4" s="4" t="s">
        <v>11</v>
      </c>
      <c r="B4" s="4" t="s">
        <v>10</v>
      </c>
      <c r="C4" s="5">
        <f>SLOPE(C33:C44,B33:B44)</f>
        <v>0.4</v>
      </c>
      <c r="D4" s="4" t="s">
        <v>21</v>
      </c>
      <c r="E4" s="4" t="s">
        <v>104</v>
      </c>
      <c r="F4" s="90" t="s">
        <v>105</v>
      </c>
      <c r="G4" s="91"/>
      <c r="H4" s="4" t="s">
        <v>107</v>
      </c>
    </row>
    <row r="5" spans="1:9" x14ac:dyDescent="0.25">
      <c r="A5" s="45" t="s">
        <v>13</v>
      </c>
      <c r="B5" s="4" t="s">
        <v>26</v>
      </c>
      <c r="C5" s="7">
        <f>1-EXP(F5*(10/24))</f>
        <v>6.7994596593289103E-2</v>
      </c>
      <c r="D5" s="4" t="s">
        <v>14</v>
      </c>
      <c r="E5" s="6" t="s">
        <v>43</v>
      </c>
      <c r="F5" s="4">
        <v>-0.16900000000000001</v>
      </c>
      <c r="G5" s="4" t="s">
        <v>15</v>
      </c>
      <c r="H5" s="52" t="s">
        <v>77</v>
      </c>
    </row>
    <row r="6" spans="1:9" x14ac:dyDescent="0.25">
      <c r="A6" s="92" t="s">
        <v>12</v>
      </c>
      <c r="B6" s="4" t="s">
        <v>16</v>
      </c>
      <c r="C6" s="4">
        <v>56</v>
      </c>
      <c r="D6" s="4" t="s">
        <v>23</v>
      </c>
      <c r="E6" s="4" t="s">
        <v>91</v>
      </c>
      <c r="F6" s="4">
        <v>56</v>
      </c>
      <c r="G6" s="4" t="s">
        <v>23</v>
      </c>
      <c r="H6" s="4" t="s">
        <v>109</v>
      </c>
      <c r="I6" s="31"/>
    </row>
    <row r="7" spans="1:9" x14ac:dyDescent="0.25">
      <c r="A7" s="92"/>
      <c r="B7" s="4" t="s">
        <v>17</v>
      </c>
      <c r="C7" s="4">
        <v>10</v>
      </c>
      <c r="D7" s="4" t="s">
        <v>23</v>
      </c>
      <c r="E7" s="4" t="s">
        <v>90</v>
      </c>
      <c r="F7" s="4">
        <v>10</v>
      </c>
      <c r="G7" s="4" t="s">
        <v>23</v>
      </c>
      <c r="H7" s="4" t="s">
        <v>113</v>
      </c>
      <c r="I7" s="31"/>
    </row>
    <row r="8" spans="1:9" x14ac:dyDescent="0.25">
      <c r="A8" s="93"/>
      <c r="B8" s="4" t="s">
        <v>18</v>
      </c>
      <c r="C8" s="4">
        <v>43</v>
      </c>
      <c r="D8" s="4" t="s">
        <v>23</v>
      </c>
      <c r="E8" s="4" t="s">
        <v>89</v>
      </c>
      <c r="F8" s="4">
        <v>43</v>
      </c>
      <c r="G8" s="4" t="s">
        <v>23</v>
      </c>
      <c r="H8" s="53" t="s">
        <v>107</v>
      </c>
      <c r="I8" s="31"/>
    </row>
    <row r="12" spans="1:9" x14ac:dyDescent="0.25">
      <c r="A12" s="101" t="s">
        <v>57</v>
      </c>
      <c r="B12" s="101"/>
      <c r="C12" s="101"/>
      <c r="D12" s="101"/>
    </row>
    <row r="13" spans="1:9" x14ac:dyDescent="0.25">
      <c r="A13" s="3" t="s">
        <v>4</v>
      </c>
      <c r="B13" s="3" t="s">
        <v>1</v>
      </c>
      <c r="C13" s="3" t="s">
        <v>2</v>
      </c>
      <c r="D13" s="3" t="s">
        <v>3</v>
      </c>
    </row>
    <row r="14" spans="1:9" ht="17.25" x14ac:dyDescent="0.25">
      <c r="A14" s="4" t="s">
        <v>5</v>
      </c>
      <c r="B14" s="4" t="s">
        <v>6</v>
      </c>
      <c r="C14" s="5">
        <f>200/4.56</f>
        <v>43.859649122807021</v>
      </c>
      <c r="D14" s="6" t="s">
        <v>9</v>
      </c>
    </row>
    <row r="15" spans="1:9" ht="18" x14ac:dyDescent="0.35">
      <c r="A15" s="4" t="s">
        <v>11</v>
      </c>
      <c r="B15" s="4" t="s">
        <v>10</v>
      </c>
      <c r="C15" s="74">
        <v>0.40600000000000003</v>
      </c>
      <c r="D15" s="4" t="s">
        <v>21</v>
      </c>
    </row>
    <row r="16" spans="1:9" x14ac:dyDescent="0.25">
      <c r="A16" s="45" t="s">
        <v>13</v>
      </c>
      <c r="B16" s="4" t="s">
        <v>26</v>
      </c>
      <c r="C16" s="7">
        <v>0.12</v>
      </c>
      <c r="D16" s="4" t="s">
        <v>14</v>
      </c>
    </row>
    <row r="17" spans="1:7" x14ac:dyDescent="0.25">
      <c r="A17" s="102" t="s">
        <v>12</v>
      </c>
      <c r="B17" s="4" t="s">
        <v>16</v>
      </c>
      <c r="C17" s="4">
        <v>56</v>
      </c>
      <c r="D17" s="4" t="s">
        <v>23</v>
      </c>
    </row>
    <row r="18" spans="1:7" x14ac:dyDescent="0.25">
      <c r="A18" s="102"/>
      <c r="B18" s="4" t="s">
        <v>17</v>
      </c>
      <c r="C18" s="4">
        <v>10</v>
      </c>
      <c r="D18" s="4" t="s">
        <v>23</v>
      </c>
    </row>
    <row r="19" spans="1:7" x14ac:dyDescent="0.25">
      <c r="A19" s="102"/>
      <c r="B19" s="4" t="s">
        <v>18</v>
      </c>
      <c r="C19" s="4">
        <v>43</v>
      </c>
      <c r="D19" s="4" t="s">
        <v>23</v>
      </c>
    </row>
    <row r="20" spans="1:7" x14ac:dyDescent="0.25">
      <c r="A20" s="48"/>
      <c r="B20" s="49"/>
      <c r="C20" s="49"/>
      <c r="D20" s="49"/>
    </row>
    <row r="21" spans="1:7" x14ac:dyDescent="0.25">
      <c r="A21" s="48"/>
      <c r="B21" s="49"/>
      <c r="C21" s="49"/>
      <c r="D21" s="49"/>
    </row>
    <row r="22" spans="1:7" x14ac:dyDescent="0.25">
      <c r="A22" s="48"/>
      <c r="B22" s="49"/>
      <c r="C22" s="49"/>
      <c r="D22" s="49"/>
    </row>
    <row r="23" spans="1:7" x14ac:dyDescent="0.25">
      <c r="A23" s="48"/>
      <c r="B23" s="49"/>
      <c r="C23" s="49"/>
      <c r="D23" s="49"/>
    </row>
    <row r="24" spans="1:7" ht="15.75" thickBot="1" x14ac:dyDescent="0.3">
      <c r="A24" s="48"/>
      <c r="B24" s="49"/>
      <c r="C24" s="49"/>
      <c r="D24" s="49"/>
    </row>
    <row r="25" spans="1:7" ht="15.75" thickBot="1" x14ac:dyDescent="0.3">
      <c r="A25" s="94" t="s">
        <v>29</v>
      </c>
      <c r="B25" s="95"/>
      <c r="C25" s="95"/>
      <c r="D25" s="95"/>
      <c r="E25" s="95"/>
      <c r="F25" s="95"/>
      <c r="G25" s="96"/>
    </row>
    <row r="26" spans="1:7" x14ac:dyDescent="0.25">
      <c r="A26" s="9"/>
      <c r="B26" s="10"/>
      <c r="C26" s="10"/>
      <c r="D26" s="10"/>
      <c r="E26" s="10"/>
      <c r="F26" s="10"/>
      <c r="G26" s="11"/>
    </row>
    <row r="27" spans="1:7" x14ac:dyDescent="0.25">
      <c r="A27" s="12"/>
      <c r="B27" s="13"/>
      <c r="C27" s="13"/>
      <c r="D27" s="13"/>
      <c r="E27" s="13"/>
      <c r="F27" s="13"/>
      <c r="G27" s="14"/>
    </row>
    <row r="28" spans="1:7" x14ac:dyDescent="0.25">
      <c r="A28" s="12"/>
      <c r="B28" s="13"/>
      <c r="C28" s="13"/>
      <c r="D28" s="13"/>
      <c r="E28" s="13"/>
      <c r="F28" s="13"/>
      <c r="G28" s="14"/>
    </row>
    <row r="29" spans="1:7" x14ac:dyDescent="0.25">
      <c r="A29" s="12"/>
      <c r="B29" s="13"/>
      <c r="C29" s="13"/>
      <c r="D29" s="13"/>
      <c r="F29" s="13"/>
      <c r="G29" s="14"/>
    </row>
    <row r="30" spans="1:7" x14ac:dyDescent="0.25">
      <c r="A30" s="12"/>
      <c r="B30" s="13"/>
      <c r="C30" s="13"/>
      <c r="D30" s="13"/>
      <c r="E30" s="13"/>
      <c r="F30" s="13"/>
      <c r="G30" s="14"/>
    </row>
    <row r="31" spans="1:7" x14ac:dyDescent="0.25">
      <c r="A31" s="12"/>
      <c r="B31" s="13"/>
      <c r="C31" s="13"/>
      <c r="D31" s="13"/>
      <c r="E31" s="13"/>
      <c r="F31" s="13"/>
      <c r="G31" s="14"/>
    </row>
    <row r="32" spans="1:7" x14ac:dyDescent="0.25">
      <c r="A32" s="71" t="s">
        <v>88</v>
      </c>
      <c r="B32" s="72" t="s">
        <v>87</v>
      </c>
      <c r="C32" s="72" t="s">
        <v>86</v>
      </c>
      <c r="D32" s="13"/>
      <c r="E32" s="13"/>
      <c r="F32" s="13"/>
      <c r="G32" s="14"/>
    </row>
    <row r="33" spans="1:18" x14ac:dyDescent="0.25">
      <c r="A33" s="73">
        <v>42475</v>
      </c>
      <c r="B33" s="21">
        <v>0.438</v>
      </c>
      <c r="C33" s="21">
        <v>0.17520000000000002</v>
      </c>
      <c r="D33" s="13"/>
      <c r="E33" s="13"/>
      <c r="F33" s="13"/>
      <c r="G33" s="14"/>
    </row>
    <row r="34" spans="1:18" x14ac:dyDescent="0.25">
      <c r="A34" s="73">
        <v>42476</v>
      </c>
      <c r="B34" s="21">
        <v>0.56999999999999995</v>
      </c>
      <c r="C34" s="21">
        <v>0.22799999999999998</v>
      </c>
      <c r="D34" s="13"/>
      <c r="E34" s="13"/>
      <c r="F34" s="13"/>
      <c r="G34" s="14"/>
    </row>
    <row r="35" spans="1:18" x14ac:dyDescent="0.25">
      <c r="A35" s="73">
        <v>42477</v>
      </c>
      <c r="B35" s="21">
        <v>0.89400000000000002</v>
      </c>
      <c r="C35" s="21">
        <v>0.35760000000000003</v>
      </c>
      <c r="D35" s="13"/>
      <c r="E35" s="13"/>
      <c r="F35" s="13"/>
      <c r="G35" s="14"/>
    </row>
    <row r="36" spans="1:18" x14ac:dyDescent="0.25">
      <c r="A36" s="73">
        <v>42479</v>
      </c>
      <c r="B36" s="21">
        <v>2.48</v>
      </c>
      <c r="C36" s="21">
        <v>0.99199999999999999</v>
      </c>
      <c r="D36" s="13"/>
      <c r="E36" s="13"/>
      <c r="F36" s="13"/>
      <c r="G36" s="14"/>
    </row>
    <row r="37" spans="1:18" x14ac:dyDescent="0.25">
      <c r="A37" s="73">
        <v>42480</v>
      </c>
      <c r="B37" s="21">
        <v>3.53</v>
      </c>
      <c r="C37" s="21">
        <v>1.4119999999999999</v>
      </c>
      <c r="D37" s="13"/>
      <c r="E37" s="13"/>
      <c r="F37" s="13"/>
      <c r="G37" s="14"/>
    </row>
    <row r="38" spans="1:18" x14ac:dyDescent="0.25">
      <c r="A38" s="73">
        <v>42481</v>
      </c>
      <c r="B38" s="21">
        <v>4.42</v>
      </c>
      <c r="C38" s="21">
        <v>1.768</v>
      </c>
      <c r="D38" s="13"/>
      <c r="E38" s="13"/>
      <c r="F38" s="13"/>
      <c r="G38" s="14"/>
    </row>
    <row r="39" spans="1:18" x14ac:dyDescent="0.25">
      <c r="A39" s="73">
        <v>42482</v>
      </c>
      <c r="B39" s="21">
        <v>4.96</v>
      </c>
      <c r="C39" s="21">
        <v>1.984</v>
      </c>
      <c r="D39" s="13"/>
      <c r="E39" s="13"/>
      <c r="F39" s="13"/>
      <c r="G39" s="14"/>
    </row>
    <row r="40" spans="1:18" x14ac:dyDescent="0.25">
      <c r="A40" s="73">
        <v>42483</v>
      </c>
      <c r="B40" s="21">
        <v>4.42</v>
      </c>
      <c r="C40" s="21">
        <v>1.768</v>
      </c>
      <c r="D40" s="13"/>
      <c r="E40" s="13"/>
      <c r="F40" s="13"/>
      <c r="G40" s="14"/>
    </row>
    <row r="41" spans="1:18" x14ac:dyDescent="0.25">
      <c r="A41" s="73">
        <v>42484</v>
      </c>
      <c r="B41" s="21">
        <v>4.5600000000000005</v>
      </c>
      <c r="C41" s="21">
        <v>1.8240000000000003</v>
      </c>
      <c r="D41" s="13"/>
      <c r="E41" s="13"/>
      <c r="F41" s="13"/>
      <c r="G41" s="14"/>
    </row>
    <row r="42" spans="1:18" x14ac:dyDescent="0.25">
      <c r="A42" s="73">
        <v>42485</v>
      </c>
      <c r="B42" s="21">
        <v>4.8</v>
      </c>
      <c r="C42" s="21">
        <v>1.92</v>
      </c>
      <c r="D42" s="13"/>
      <c r="E42" s="13"/>
      <c r="F42" s="13"/>
      <c r="G42" s="14"/>
    </row>
    <row r="43" spans="1:18" x14ac:dyDescent="0.25">
      <c r="A43" s="73">
        <v>42486</v>
      </c>
      <c r="B43" s="21">
        <v>4.8</v>
      </c>
      <c r="C43" s="21">
        <v>1.92</v>
      </c>
      <c r="D43" s="13"/>
      <c r="E43" s="13"/>
      <c r="F43" s="13"/>
      <c r="G43" s="14"/>
    </row>
    <row r="44" spans="1:18" x14ac:dyDescent="0.25">
      <c r="A44" s="73">
        <v>42488</v>
      </c>
      <c r="B44" s="21">
        <v>5.08</v>
      </c>
      <c r="C44" s="21">
        <v>2.032</v>
      </c>
      <c r="D44" s="13"/>
      <c r="E44" s="13"/>
      <c r="F44" s="13"/>
      <c r="G44" s="14"/>
    </row>
    <row r="45" spans="1:18" x14ac:dyDescent="0.25">
      <c r="A45" s="50"/>
      <c r="B45" s="50"/>
      <c r="C45" s="13"/>
      <c r="D45" s="13"/>
      <c r="E45" s="13"/>
      <c r="F45" s="13"/>
      <c r="G45" s="14"/>
    </row>
    <row r="46" spans="1:18" x14ac:dyDescent="0.25">
      <c r="A46" s="50"/>
      <c r="B46" s="50"/>
      <c r="C46" s="13"/>
      <c r="D46" s="13"/>
      <c r="E46" s="13"/>
      <c r="F46" s="13"/>
      <c r="G46" s="14"/>
      <c r="R46" s="1"/>
    </row>
    <row r="47" spans="1:18" x14ac:dyDescent="0.25">
      <c r="A47" s="50"/>
      <c r="B47" s="50"/>
      <c r="C47" s="13"/>
      <c r="D47" s="13"/>
      <c r="E47" s="13"/>
      <c r="F47" s="13"/>
      <c r="G47" s="14"/>
    </row>
    <row r="48" spans="1:18" x14ac:dyDescent="0.25">
      <c r="A48" s="50"/>
      <c r="B48" s="50"/>
      <c r="C48" s="13"/>
      <c r="D48" s="13"/>
      <c r="E48" s="13"/>
      <c r="F48" s="13"/>
      <c r="G48" s="14"/>
    </row>
    <row r="49" spans="1:7" x14ac:dyDescent="0.25">
      <c r="A49" s="50"/>
      <c r="B49" s="50"/>
      <c r="C49" s="13"/>
      <c r="D49" s="13"/>
      <c r="E49" s="13"/>
      <c r="F49" s="13"/>
      <c r="G49" s="14"/>
    </row>
    <row r="50" spans="1:7" x14ac:dyDescent="0.25">
      <c r="A50" s="55"/>
      <c r="B50" s="55"/>
      <c r="C50" s="13"/>
      <c r="D50" s="58"/>
      <c r="E50" s="13"/>
      <c r="F50" s="13"/>
      <c r="G50" s="14"/>
    </row>
    <row r="51" spans="1:7" x14ac:dyDescent="0.25">
      <c r="A51" s="55"/>
      <c r="B51" s="55"/>
      <c r="C51" s="13"/>
      <c r="D51" s="13"/>
      <c r="E51" s="13"/>
      <c r="F51" s="13"/>
      <c r="G51" s="14"/>
    </row>
    <row r="52" spans="1:7" x14ac:dyDescent="0.25">
      <c r="A52" s="55"/>
      <c r="B52" s="55"/>
      <c r="C52" s="13"/>
      <c r="D52" s="13"/>
      <c r="E52" s="13"/>
      <c r="F52" s="13"/>
      <c r="G52" s="14"/>
    </row>
    <row r="53" spans="1:7" x14ac:dyDescent="0.25">
      <c r="A53" s="55"/>
      <c r="B53" s="55"/>
      <c r="C53" s="13"/>
      <c r="D53" s="13"/>
      <c r="E53" s="13"/>
      <c r="F53" s="13"/>
      <c r="G53" s="14"/>
    </row>
    <row r="54" spans="1:7" x14ac:dyDescent="0.25">
      <c r="A54" s="57"/>
      <c r="B54" s="57"/>
      <c r="C54" s="13"/>
      <c r="D54" s="13"/>
      <c r="E54" s="13"/>
      <c r="F54" s="13"/>
      <c r="G54" s="14"/>
    </row>
    <row r="55" spans="1:7" x14ac:dyDescent="0.25">
      <c r="A55" s="55"/>
      <c r="B55" s="55"/>
      <c r="C55" s="13"/>
      <c r="D55" s="13"/>
      <c r="E55" s="13"/>
      <c r="F55" s="13"/>
      <c r="G55" s="14"/>
    </row>
    <row r="56" spans="1:7" x14ac:dyDescent="0.25">
      <c r="A56" s="55"/>
      <c r="B56" s="55"/>
      <c r="C56" s="13"/>
      <c r="D56" s="13"/>
      <c r="E56" s="13"/>
      <c r="F56" s="13"/>
      <c r="G56" s="14"/>
    </row>
    <row r="57" spans="1:7" x14ac:dyDescent="0.25">
      <c r="A57" s="57"/>
      <c r="B57" s="57"/>
      <c r="C57" s="13"/>
      <c r="D57" s="13"/>
      <c r="E57" s="13"/>
      <c r="F57" s="13"/>
      <c r="G57" s="14"/>
    </row>
    <row r="58" spans="1:7" x14ac:dyDescent="0.25">
      <c r="A58" s="57"/>
      <c r="B58" s="56"/>
      <c r="C58" s="13"/>
      <c r="D58" s="13"/>
      <c r="E58" s="13"/>
      <c r="F58" s="13"/>
      <c r="G58" s="14"/>
    </row>
    <row r="59" spans="1:7" x14ac:dyDescent="0.25">
      <c r="A59" s="57"/>
      <c r="B59" s="56"/>
      <c r="C59" s="13"/>
      <c r="D59" s="13"/>
      <c r="E59" s="13"/>
      <c r="F59" s="13"/>
      <c r="G59" s="14"/>
    </row>
    <row r="60" spans="1:7" x14ac:dyDescent="0.25">
      <c r="A60" s="57"/>
      <c r="B60" s="56"/>
      <c r="C60" s="13"/>
      <c r="D60" s="13"/>
      <c r="E60" s="13"/>
      <c r="F60" s="13"/>
      <c r="G60" s="14"/>
    </row>
    <row r="61" spans="1:7" x14ac:dyDescent="0.25">
      <c r="A61" s="57"/>
      <c r="B61" s="56"/>
      <c r="C61" s="13"/>
      <c r="D61" s="13"/>
      <c r="E61" s="13"/>
      <c r="F61" s="13"/>
      <c r="G61" s="14"/>
    </row>
    <row r="62" spans="1:7" x14ac:dyDescent="0.25">
      <c r="A62" s="57"/>
      <c r="B62" s="56"/>
      <c r="C62" s="13"/>
      <c r="D62" s="13"/>
      <c r="E62" s="13"/>
      <c r="F62" s="13"/>
      <c r="G62" s="14"/>
    </row>
    <row r="63" spans="1:7" x14ac:dyDescent="0.25">
      <c r="A63" s="57"/>
      <c r="B63" s="56"/>
      <c r="C63" s="13"/>
      <c r="D63" s="13"/>
      <c r="E63" s="13"/>
      <c r="F63" s="13"/>
      <c r="G63" s="14"/>
    </row>
    <row r="64" spans="1:7" x14ac:dyDescent="0.25">
      <c r="A64" s="55"/>
      <c r="B64" s="55"/>
      <c r="C64" s="13"/>
      <c r="D64" s="13"/>
      <c r="E64" s="13"/>
      <c r="F64" s="13"/>
      <c r="G64" s="14"/>
    </row>
    <row r="65" spans="1:7" x14ac:dyDescent="0.25">
      <c r="A65" s="55"/>
      <c r="B65" s="55"/>
      <c r="C65" s="13"/>
      <c r="D65" s="13"/>
      <c r="E65" s="13"/>
      <c r="F65" s="13"/>
      <c r="G65" s="14"/>
    </row>
    <row r="66" spans="1:7" x14ac:dyDescent="0.25">
      <c r="A66" s="54"/>
      <c r="B66" s="54"/>
      <c r="C66" s="13"/>
      <c r="D66" s="13"/>
      <c r="E66" s="13"/>
      <c r="F66" s="13"/>
      <c r="G66" s="14"/>
    </row>
    <row r="67" spans="1:7" x14ac:dyDescent="0.25">
      <c r="A67" s="12"/>
      <c r="B67" s="13"/>
      <c r="C67" s="13"/>
      <c r="D67" s="13"/>
      <c r="E67" s="13"/>
      <c r="F67" s="13"/>
      <c r="G67" s="14"/>
    </row>
    <row r="68" spans="1:7" x14ac:dyDescent="0.25">
      <c r="A68" s="12"/>
      <c r="B68" s="13"/>
      <c r="C68" s="13"/>
      <c r="D68" s="13"/>
      <c r="E68" s="13"/>
      <c r="F68" s="13"/>
      <c r="G68" s="14"/>
    </row>
    <row r="69" spans="1:7" x14ac:dyDescent="0.25">
      <c r="A69" s="12"/>
      <c r="B69" s="13"/>
      <c r="C69" s="13"/>
      <c r="D69" s="13"/>
      <c r="E69" s="13"/>
      <c r="F69" s="13"/>
      <c r="G69" s="14"/>
    </row>
    <row r="70" spans="1:7" x14ac:dyDescent="0.25">
      <c r="A70" s="12"/>
      <c r="B70" s="13"/>
      <c r="C70" s="13"/>
      <c r="D70" s="13"/>
      <c r="E70" s="13"/>
      <c r="F70" s="13"/>
      <c r="G70" s="14"/>
    </row>
    <row r="71" spans="1:7" x14ac:dyDescent="0.25">
      <c r="A71" s="12"/>
      <c r="B71" s="13"/>
      <c r="C71" s="13"/>
      <c r="D71" s="13"/>
      <c r="E71" s="13"/>
      <c r="F71" s="13"/>
      <c r="G71" s="14"/>
    </row>
    <row r="72" spans="1:7" x14ac:dyDescent="0.25">
      <c r="A72" s="12"/>
      <c r="B72" s="13"/>
      <c r="C72" s="13"/>
      <c r="D72" s="13"/>
      <c r="E72" s="13"/>
      <c r="F72" s="13"/>
      <c r="G72" s="14"/>
    </row>
    <row r="73" spans="1:7" x14ac:dyDescent="0.25">
      <c r="A73" s="12"/>
      <c r="B73" s="13"/>
      <c r="C73" s="13"/>
      <c r="D73" s="13"/>
      <c r="E73" s="13"/>
      <c r="F73" s="13"/>
      <c r="G73" s="14"/>
    </row>
    <row r="74" spans="1:7" x14ac:dyDescent="0.25">
      <c r="A74" s="12"/>
      <c r="B74" s="13"/>
      <c r="C74" s="13"/>
      <c r="D74" s="13"/>
      <c r="E74" s="13"/>
      <c r="F74" s="13"/>
      <c r="G74" s="14"/>
    </row>
    <row r="75" spans="1:7" x14ac:dyDescent="0.25">
      <c r="A75" s="12"/>
      <c r="B75" s="13"/>
      <c r="C75" s="13"/>
      <c r="D75" s="13"/>
      <c r="E75" s="13"/>
      <c r="F75" s="13"/>
      <c r="G75" s="14"/>
    </row>
    <row r="76" spans="1:7" x14ac:dyDescent="0.25">
      <c r="A76" s="12"/>
      <c r="B76" s="13"/>
      <c r="C76" s="13"/>
      <c r="D76" s="13"/>
      <c r="E76" s="13"/>
      <c r="F76" s="13"/>
      <c r="G76" s="14"/>
    </row>
    <row r="77" spans="1:7" x14ac:dyDescent="0.25">
      <c r="A77" s="12"/>
      <c r="B77" s="13"/>
      <c r="C77" s="13"/>
      <c r="D77" s="13"/>
      <c r="E77" s="13"/>
      <c r="F77" s="13"/>
      <c r="G77" s="14"/>
    </row>
    <row r="78" spans="1:7" x14ac:dyDescent="0.25">
      <c r="A78" s="25"/>
      <c r="B78" s="26"/>
      <c r="C78" s="26"/>
      <c r="D78" s="26"/>
      <c r="E78" s="26"/>
      <c r="F78" s="26"/>
      <c r="G78" s="27"/>
    </row>
    <row r="79" spans="1:7" x14ac:dyDescent="0.25">
      <c r="A79" s="25"/>
      <c r="B79" s="26"/>
      <c r="C79" s="26"/>
      <c r="D79" s="26"/>
      <c r="E79" s="26"/>
      <c r="F79" s="26"/>
      <c r="G79" s="27"/>
    </row>
    <row r="80" spans="1:7" x14ac:dyDescent="0.25">
      <c r="A80" s="25"/>
      <c r="B80" s="26"/>
      <c r="C80" s="26"/>
      <c r="D80" s="26"/>
      <c r="E80" s="26"/>
      <c r="F80" s="26"/>
      <c r="G80" s="27"/>
    </row>
    <row r="81" spans="1:7" x14ac:dyDescent="0.25">
      <c r="A81" s="25"/>
      <c r="B81" s="26"/>
      <c r="C81" s="26"/>
      <c r="D81" s="26"/>
      <c r="E81" s="26"/>
      <c r="F81" s="26"/>
      <c r="G81" s="27"/>
    </row>
    <row r="82" spans="1:7" x14ac:dyDescent="0.25">
      <c r="A82" s="25"/>
      <c r="B82" s="26"/>
      <c r="C82" s="26"/>
      <c r="D82" s="26"/>
      <c r="E82" s="26"/>
      <c r="F82" s="26"/>
      <c r="G82" s="27"/>
    </row>
    <row r="83" spans="1:7" x14ac:dyDescent="0.25">
      <c r="A83" s="25"/>
      <c r="B83" s="26"/>
      <c r="C83" s="26"/>
      <c r="D83" s="26"/>
      <c r="E83" s="26"/>
      <c r="F83" s="26"/>
      <c r="G83" s="27"/>
    </row>
    <row r="84" spans="1:7" x14ac:dyDescent="0.25">
      <c r="A84" s="25"/>
      <c r="B84" s="26"/>
      <c r="C84" s="26"/>
      <c r="D84" s="26"/>
      <c r="E84" s="26"/>
      <c r="F84" s="26"/>
      <c r="G84" s="27"/>
    </row>
    <row r="85" spans="1:7" x14ac:dyDescent="0.25">
      <c r="A85" s="25"/>
      <c r="B85" s="26"/>
      <c r="C85" s="26"/>
      <c r="D85" s="26"/>
      <c r="E85" s="26"/>
      <c r="F85" s="26"/>
      <c r="G85" s="27"/>
    </row>
    <row r="86" spans="1:7" ht="15.75" thickBot="1" x14ac:dyDescent="0.3">
      <c r="A86" s="28"/>
      <c r="B86" s="29"/>
      <c r="C86" s="29"/>
      <c r="D86" s="29"/>
      <c r="E86" s="29"/>
      <c r="F86" s="29"/>
      <c r="G86" s="30"/>
    </row>
    <row r="90" spans="1:7" x14ac:dyDescent="0.25">
      <c r="A90" s="100" t="s">
        <v>50</v>
      </c>
      <c r="B90" s="100"/>
      <c r="C90" s="100"/>
      <c r="D90" s="100"/>
      <c r="E90" s="100"/>
      <c r="F90" s="100"/>
      <c r="G90" s="100"/>
    </row>
    <row r="91" spans="1:7" x14ac:dyDescent="0.25">
      <c r="A91" s="99" t="s">
        <v>111</v>
      </c>
      <c r="B91" s="98"/>
      <c r="C91" s="98"/>
      <c r="D91" s="98"/>
      <c r="E91" s="98"/>
      <c r="F91" s="98"/>
      <c r="G91" s="98"/>
    </row>
    <row r="92" spans="1:7" x14ac:dyDescent="0.25">
      <c r="A92" s="98"/>
      <c r="B92" s="98"/>
      <c r="C92" s="98"/>
      <c r="D92" s="98"/>
      <c r="E92" s="98"/>
      <c r="F92" s="98"/>
      <c r="G92" s="98"/>
    </row>
    <row r="93" spans="1:7" x14ac:dyDescent="0.25">
      <c r="A93" s="98"/>
      <c r="B93" s="98"/>
      <c r="C93" s="98"/>
      <c r="D93" s="98"/>
      <c r="E93" s="98"/>
      <c r="F93" s="98"/>
      <c r="G93" s="98"/>
    </row>
    <row r="94" spans="1:7" x14ac:dyDescent="0.25">
      <c r="A94" s="99" t="s">
        <v>108</v>
      </c>
      <c r="B94" s="98"/>
      <c r="C94" s="98"/>
      <c r="D94" s="98"/>
      <c r="E94" s="98"/>
      <c r="F94" s="98"/>
      <c r="G94" s="98"/>
    </row>
    <row r="95" spans="1:7" x14ac:dyDescent="0.25">
      <c r="A95" s="98"/>
      <c r="B95" s="98"/>
      <c r="C95" s="98"/>
      <c r="D95" s="98"/>
      <c r="E95" s="98"/>
      <c r="F95" s="98"/>
      <c r="G95" s="98"/>
    </row>
    <row r="96" spans="1:7" x14ac:dyDescent="0.25">
      <c r="A96" s="98"/>
      <c r="B96" s="98"/>
      <c r="C96" s="98"/>
      <c r="D96" s="98"/>
      <c r="E96" s="98"/>
      <c r="F96" s="98"/>
      <c r="G96" s="98"/>
    </row>
    <row r="97" spans="1:7" x14ac:dyDescent="0.25">
      <c r="A97" s="97" t="s">
        <v>84</v>
      </c>
      <c r="B97" s="98"/>
      <c r="C97" s="98"/>
      <c r="D97" s="98"/>
      <c r="E97" s="98"/>
      <c r="F97" s="98"/>
      <c r="G97" s="98"/>
    </row>
    <row r="98" spans="1:7" x14ac:dyDescent="0.25">
      <c r="A98" s="98"/>
      <c r="B98" s="98"/>
      <c r="C98" s="98"/>
      <c r="D98" s="98"/>
      <c r="E98" s="98"/>
      <c r="F98" s="98"/>
      <c r="G98" s="98"/>
    </row>
    <row r="99" spans="1:7" x14ac:dyDescent="0.25">
      <c r="A99" s="98"/>
      <c r="B99" s="98"/>
      <c r="C99" s="98"/>
      <c r="D99" s="98"/>
      <c r="E99" s="98"/>
      <c r="F99" s="98"/>
      <c r="G99" s="98"/>
    </row>
    <row r="100" spans="1:7" ht="15" customHeight="1" x14ac:dyDescent="0.25">
      <c r="A100" s="97" t="s">
        <v>110</v>
      </c>
      <c r="B100" s="98"/>
      <c r="C100" s="98"/>
      <c r="D100" s="98"/>
      <c r="E100" s="98"/>
      <c r="F100" s="98"/>
      <c r="G100" s="98"/>
    </row>
    <row r="101" spans="1:7" x14ac:dyDescent="0.25">
      <c r="A101" s="98"/>
      <c r="B101" s="98"/>
      <c r="C101" s="98"/>
      <c r="D101" s="98"/>
      <c r="E101" s="98"/>
      <c r="F101" s="98"/>
      <c r="G101" s="98"/>
    </row>
    <row r="102" spans="1:7" x14ac:dyDescent="0.25">
      <c r="A102" s="98"/>
      <c r="B102" s="98"/>
      <c r="C102" s="98"/>
      <c r="D102" s="98"/>
      <c r="E102" s="98"/>
      <c r="F102" s="98"/>
      <c r="G102" s="98"/>
    </row>
    <row r="103" spans="1:7" x14ac:dyDescent="0.25">
      <c r="A103" s="97" t="s">
        <v>114</v>
      </c>
      <c r="B103" s="98"/>
      <c r="C103" s="98"/>
      <c r="D103" s="98"/>
      <c r="E103" s="98"/>
      <c r="F103" s="98"/>
      <c r="G103" s="98"/>
    </row>
    <row r="104" spans="1:7" x14ac:dyDescent="0.25">
      <c r="A104" s="98"/>
      <c r="B104" s="98"/>
      <c r="C104" s="98"/>
      <c r="D104" s="98"/>
      <c r="E104" s="98"/>
      <c r="F104" s="98"/>
      <c r="G104" s="98"/>
    </row>
    <row r="105" spans="1:7" x14ac:dyDescent="0.25">
      <c r="A105" s="98"/>
      <c r="B105" s="98"/>
      <c r="C105" s="98"/>
      <c r="D105" s="98"/>
      <c r="E105" s="98"/>
      <c r="F105" s="98"/>
      <c r="G105" s="98"/>
    </row>
    <row r="106" spans="1:7" x14ac:dyDescent="0.25">
      <c r="A106" s="97" t="s">
        <v>112</v>
      </c>
      <c r="B106" s="98"/>
      <c r="C106" s="98"/>
      <c r="D106" s="98"/>
      <c r="E106" s="98"/>
      <c r="F106" s="98"/>
      <c r="G106" s="98"/>
    </row>
    <row r="107" spans="1:7" x14ac:dyDescent="0.25">
      <c r="A107" s="98"/>
      <c r="B107" s="98"/>
      <c r="C107" s="98"/>
      <c r="D107" s="98"/>
      <c r="E107" s="98"/>
      <c r="F107" s="98"/>
      <c r="G107" s="98"/>
    </row>
    <row r="108" spans="1:7" x14ac:dyDescent="0.25">
      <c r="A108" s="98"/>
      <c r="B108" s="98"/>
      <c r="C108" s="98"/>
      <c r="D108" s="98"/>
      <c r="E108" s="98"/>
      <c r="F108" s="98"/>
      <c r="G108" s="98"/>
    </row>
  </sheetData>
  <mergeCells count="12">
    <mergeCell ref="A106:G108"/>
    <mergeCell ref="A12:D12"/>
    <mergeCell ref="A17:A19"/>
    <mergeCell ref="A103:G105"/>
    <mergeCell ref="F4:G4"/>
    <mergeCell ref="A6:A8"/>
    <mergeCell ref="A25:G25"/>
    <mergeCell ref="A90:G90"/>
    <mergeCell ref="A100:G102"/>
    <mergeCell ref="A94:G96"/>
    <mergeCell ref="A97:G99"/>
    <mergeCell ref="A91:G9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103"/>
  <sheetViews>
    <sheetView tabSelected="1" zoomScaleNormal="100" workbookViewId="0">
      <selection activeCell="B1" sqref="B1"/>
    </sheetView>
  </sheetViews>
  <sheetFormatPr defaultRowHeight="15" x14ac:dyDescent="0.25"/>
  <cols>
    <col min="1" max="1" width="31.5703125" bestFit="1" customWidth="1"/>
    <col min="2" max="2" width="31.140625" bestFit="1" customWidth="1"/>
    <col min="3" max="3" width="12" customWidth="1"/>
    <col min="4" max="4" width="15.7109375" customWidth="1"/>
    <col min="5" max="5" width="29" customWidth="1"/>
    <col min="6" max="6" width="14.85546875" customWidth="1"/>
    <col min="7" max="7" width="11" customWidth="1"/>
    <col min="8" max="8" width="56.5703125" customWidth="1"/>
    <col min="14" max="14" width="21" bestFit="1" customWidth="1"/>
    <col min="15" max="15" width="13.7109375" bestFit="1" customWidth="1"/>
    <col min="16" max="16" width="14.140625" bestFit="1" customWidth="1"/>
  </cols>
  <sheetData>
    <row r="1" spans="1:9" x14ac:dyDescent="0.25">
      <c r="A1" s="2" t="s">
        <v>0</v>
      </c>
      <c r="B1" s="20" t="s">
        <v>115</v>
      </c>
    </row>
    <row r="2" spans="1:9" x14ac:dyDescent="0.25">
      <c r="A2" s="3" t="s">
        <v>4</v>
      </c>
      <c r="B2" s="3" t="s">
        <v>1</v>
      </c>
      <c r="C2" s="3" t="s">
        <v>2</v>
      </c>
      <c r="D2" s="3" t="s">
        <v>3</v>
      </c>
      <c r="E2" s="3" t="s">
        <v>27</v>
      </c>
      <c r="F2" s="3" t="s">
        <v>28</v>
      </c>
      <c r="G2" s="3" t="s">
        <v>3</v>
      </c>
      <c r="H2" s="3" t="s">
        <v>65</v>
      </c>
    </row>
    <row r="3" spans="1:9" ht="17.25" x14ac:dyDescent="0.25">
      <c r="A3" s="4" t="s">
        <v>5</v>
      </c>
      <c r="B3" s="4" t="s">
        <v>6</v>
      </c>
      <c r="C3" s="5">
        <f>F3/4.56</f>
        <v>50.438596491228076</v>
      </c>
      <c r="D3" s="6" t="s">
        <v>9</v>
      </c>
      <c r="E3" s="6" t="s">
        <v>92</v>
      </c>
      <c r="F3" s="4">
        <v>230</v>
      </c>
      <c r="G3" s="6" t="s">
        <v>8</v>
      </c>
      <c r="H3" s="43" t="s">
        <v>113</v>
      </c>
    </row>
    <row r="4" spans="1:9" ht="18" x14ac:dyDescent="0.35">
      <c r="A4" s="4" t="s">
        <v>11</v>
      </c>
      <c r="B4" s="4" t="s">
        <v>10</v>
      </c>
      <c r="C4" s="5">
        <f>SLOPE(C29:C43,B29:B43)</f>
        <v>0.44</v>
      </c>
      <c r="D4" s="4" t="s">
        <v>21</v>
      </c>
      <c r="E4" s="4" t="s">
        <v>104</v>
      </c>
      <c r="F4" s="90" t="s">
        <v>105</v>
      </c>
      <c r="G4" s="91"/>
      <c r="H4" s="4" t="s">
        <v>117</v>
      </c>
    </row>
    <row r="5" spans="1:9" x14ac:dyDescent="0.25">
      <c r="A5" s="45" t="s">
        <v>13</v>
      </c>
      <c r="B5" s="4" t="s">
        <v>26</v>
      </c>
      <c r="C5" s="7">
        <f>1-EXP(F5*(10/24))</f>
        <v>6.7994596593289103E-2</v>
      </c>
      <c r="D5" s="4" t="s">
        <v>14</v>
      </c>
      <c r="E5" s="6" t="s">
        <v>43</v>
      </c>
      <c r="F5" s="4">
        <v>-0.16900000000000001</v>
      </c>
      <c r="G5" s="4" t="s">
        <v>15</v>
      </c>
      <c r="H5" s="52" t="s">
        <v>77</v>
      </c>
    </row>
    <row r="6" spans="1:9" x14ac:dyDescent="0.25">
      <c r="A6" s="92" t="s">
        <v>12</v>
      </c>
      <c r="B6" s="4" t="s">
        <v>16</v>
      </c>
      <c r="C6" s="4">
        <v>47</v>
      </c>
      <c r="D6" s="4" t="s">
        <v>23</v>
      </c>
      <c r="E6" s="4" t="s">
        <v>92</v>
      </c>
      <c r="F6" s="4">
        <v>47</v>
      </c>
      <c r="G6" s="4" t="s">
        <v>23</v>
      </c>
      <c r="H6" s="43" t="s">
        <v>113</v>
      </c>
      <c r="I6" s="31"/>
    </row>
    <row r="7" spans="1:9" x14ac:dyDescent="0.25">
      <c r="A7" s="92"/>
      <c r="B7" s="4" t="s">
        <v>17</v>
      </c>
      <c r="C7" s="4">
        <v>10</v>
      </c>
      <c r="D7" s="4" t="s">
        <v>23</v>
      </c>
      <c r="E7" s="4" t="s">
        <v>90</v>
      </c>
      <c r="F7" s="4">
        <v>10</v>
      </c>
      <c r="G7" s="4" t="s">
        <v>23</v>
      </c>
      <c r="H7" s="43" t="s">
        <v>113</v>
      </c>
      <c r="I7" s="31"/>
    </row>
    <row r="8" spans="1:9" x14ac:dyDescent="0.25">
      <c r="A8" s="93"/>
      <c r="B8" s="4" t="s">
        <v>18</v>
      </c>
      <c r="C8" s="4">
        <v>35</v>
      </c>
      <c r="D8" s="4" t="s">
        <v>23</v>
      </c>
      <c r="E8" s="4" t="s">
        <v>94</v>
      </c>
      <c r="F8" s="4">
        <v>35</v>
      </c>
      <c r="G8" s="4" t="s">
        <v>23</v>
      </c>
      <c r="H8" s="53" t="s">
        <v>118</v>
      </c>
      <c r="I8" s="31"/>
    </row>
    <row r="12" spans="1:9" x14ac:dyDescent="0.25">
      <c r="A12" s="101" t="s">
        <v>57</v>
      </c>
      <c r="B12" s="101"/>
      <c r="C12" s="101"/>
      <c r="D12" s="101"/>
    </row>
    <row r="13" spans="1:9" x14ac:dyDescent="0.25">
      <c r="A13" s="3" t="s">
        <v>4</v>
      </c>
      <c r="B13" s="3" t="s">
        <v>1</v>
      </c>
      <c r="C13" s="3" t="s">
        <v>2</v>
      </c>
      <c r="D13" s="3" t="s">
        <v>3</v>
      </c>
    </row>
    <row r="14" spans="1:9" ht="17.25" x14ac:dyDescent="0.25">
      <c r="A14" s="4" t="s">
        <v>5</v>
      </c>
      <c r="B14" s="4" t="s">
        <v>6</v>
      </c>
      <c r="C14" s="5">
        <f>270/4.56</f>
        <v>59.21052631578948</v>
      </c>
      <c r="D14" s="6" t="s">
        <v>9</v>
      </c>
    </row>
    <row r="15" spans="1:9" ht="18" x14ac:dyDescent="0.35">
      <c r="A15" s="4" t="s">
        <v>11</v>
      </c>
      <c r="B15" s="4" t="s">
        <v>10</v>
      </c>
      <c r="C15" s="74">
        <v>0.48</v>
      </c>
      <c r="D15" s="4" t="s">
        <v>21</v>
      </c>
    </row>
    <row r="16" spans="1:9" x14ac:dyDescent="0.25">
      <c r="A16" s="45" t="s">
        <v>13</v>
      </c>
      <c r="B16" s="4" t="s">
        <v>26</v>
      </c>
      <c r="C16" s="7">
        <v>0.02</v>
      </c>
      <c r="D16" s="4" t="s">
        <v>14</v>
      </c>
    </row>
    <row r="17" spans="1:7" x14ac:dyDescent="0.25">
      <c r="A17" s="102" t="s">
        <v>12</v>
      </c>
      <c r="B17" s="4" t="s">
        <v>16</v>
      </c>
      <c r="C17" s="4">
        <v>47</v>
      </c>
      <c r="D17" s="4" t="s">
        <v>23</v>
      </c>
    </row>
    <row r="18" spans="1:7" x14ac:dyDescent="0.25">
      <c r="A18" s="102"/>
      <c r="B18" s="4" t="s">
        <v>17</v>
      </c>
      <c r="C18" s="4">
        <v>10</v>
      </c>
      <c r="D18" s="4" t="s">
        <v>23</v>
      </c>
    </row>
    <row r="19" spans="1:7" x14ac:dyDescent="0.25">
      <c r="A19" s="102"/>
      <c r="B19" s="4" t="s">
        <v>18</v>
      </c>
      <c r="C19" s="4">
        <v>28</v>
      </c>
      <c r="D19" s="4" t="s">
        <v>23</v>
      </c>
    </row>
    <row r="22" spans="1:7" ht="15.75" thickBot="1" x14ac:dyDescent="0.3"/>
    <row r="23" spans="1:7" ht="15.75" thickBot="1" x14ac:dyDescent="0.3">
      <c r="A23" s="94" t="s">
        <v>29</v>
      </c>
      <c r="B23" s="95"/>
      <c r="C23" s="95"/>
      <c r="D23" s="95"/>
      <c r="E23" s="95"/>
      <c r="F23" s="95"/>
      <c r="G23" s="96"/>
    </row>
    <row r="24" spans="1:7" x14ac:dyDescent="0.25">
      <c r="A24" s="9"/>
      <c r="B24" s="10"/>
      <c r="C24" s="10"/>
      <c r="D24" s="10"/>
      <c r="E24" s="10"/>
      <c r="F24" s="10"/>
      <c r="G24" s="11"/>
    </row>
    <row r="25" spans="1:7" x14ac:dyDescent="0.25">
      <c r="A25" s="12"/>
      <c r="B25" s="13"/>
      <c r="C25" s="13"/>
      <c r="D25" s="13"/>
      <c r="E25" s="13"/>
      <c r="F25" s="13"/>
      <c r="G25" s="14"/>
    </row>
    <row r="26" spans="1:7" x14ac:dyDescent="0.25">
      <c r="A26" s="12"/>
      <c r="B26" s="13"/>
      <c r="C26" s="13"/>
      <c r="D26" s="13"/>
      <c r="E26" s="13"/>
      <c r="F26" s="13"/>
      <c r="G26" s="14"/>
    </row>
    <row r="27" spans="1:7" x14ac:dyDescent="0.25">
      <c r="A27" s="12"/>
      <c r="B27" s="13"/>
      <c r="C27" s="13"/>
      <c r="D27" s="26"/>
      <c r="E27" s="26"/>
      <c r="F27" s="26"/>
      <c r="G27" s="27"/>
    </row>
    <row r="28" spans="1:7" x14ac:dyDescent="0.25">
      <c r="A28" s="76" t="s">
        <v>88</v>
      </c>
      <c r="B28" s="72" t="s">
        <v>93</v>
      </c>
      <c r="C28" s="72" t="s">
        <v>86</v>
      </c>
      <c r="D28" s="26"/>
      <c r="E28" s="26"/>
      <c r="F28" s="26"/>
      <c r="G28" s="27"/>
    </row>
    <row r="29" spans="1:7" x14ac:dyDescent="0.25">
      <c r="A29" s="77">
        <v>42828.541666666664</v>
      </c>
      <c r="B29" s="75">
        <v>2.4900000000000002</v>
      </c>
      <c r="C29" s="75">
        <v>1.0956000000000001</v>
      </c>
      <c r="D29" s="26"/>
      <c r="E29" s="26"/>
      <c r="F29" s="26"/>
      <c r="G29" s="27"/>
    </row>
    <row r="30" spans="1:7" x14ac:dyDescent="0.25">
      <c r="A30" s="77">
        <v>42828.770833333336</v>
      </c>
      <c r="B30" s="75">
        <v>2.7350000000000003</v>
      </c>
      <c r="C30" s="75">
        <v>1.2034</v>
      </c>
      <c r="D30" s="26"/>
      <c r="E30" s="26"/>
      <c r="F30" s="26"/>
      <c r="G30" s="27"/>
    </row>
    <row r="31" spans="1:7" x14ac:dyDescent="0.25">
      <c r="A31" s="77">
        <v>42829.270833333336</v>
      </c>
      <c r="B31" s="75">
        <v>2.8950000000000005</v>
      </c>
      <c r="C31" s="75">
        <v>1.2738</v>
      </c>
      <c r="D31" s="26"/>
      <c r="E31" s="26"/>
      <c r="F31" s="26"/>
      <c r="G31" s="27"/>
    </row>
    <row r="32" spans="1:7" x14ac:dyDescent="0.25">
      <c r="A32" s="77">
        <v>42829.770833333336</v>
      </c>
      <c r="B32" s="75">
        <v>3.21</v>
      </c>
      <c r="C32" s="75">
        <v>1.4123999999999999</v>
      </c>
      <c r="D32" s="26"/>
      <c r="E32" s="26"/>
      <c r="F32" s="26"/>
      <c r="G32" s="27"/>
    </row>
    <row r="33" spans="1:18" x14ac:dyDescent="0.25">
      <c r="A33" s="77">
        <v>42830.270833333336</v>
      </c>
      <c r="B33" s="75">
        <v>3.1850000000000001</v>
      </c>
      <c r="C33" s="75">
        <v>1.4014</v>
      </c>
      <c r="D33" s="26"/>
      <c r="E33" s="26"/>
      <c r="F33" s="26"/>
      <c r="G33" s="27"/>
    </row>
    <row r="34" spans="1:18" x14ac:dyDescent="0.25">
      <c r="A34" s="77">
        <v>42830.770833333336</v>
      </c>
      <c r="B34" s="75">
        <v>3.3499999999999996</v>
      </c>
      <c r="C34" s="75">
        <v>1.4740000000000002</v>
      </c>
      <c r="D34" s="26"/>
      <c r="E34" s="26"/>
      <c r="F34" s="26"/>
      <c r="G34" s="27"/>
    </row>
    <row r="35" spans="1:18" x14ac:dyDescent="0.25">
      <c r="A35" s="77">
        <v>42831.270833333336</v>
      </c>
      <c r="B35" s="75">
        <v>3.5950000000000006</v>
      </c>
      <c r="C35" s="75">
        <v>1.5818000000000001</v>
      </c>
      <c r="D35" s="26"/>
      <c r="E35" s="26"/>
      <c r="F35" s="26"/>
      <c r="G35" s="27"/>
    </row>
    <row r="36" spans="1:18" x14ac:dyDescent="0.25">
      <c r="A36" s="77">
        <v>42831.770833333336</v>
      </c>
      <c r="B36" s="75">
        <v>3.84</v>
      </c>
      <c r="C36" s="75">
        <v>1.6896</v>
      </c>
      <c r="D36" s="26"/>
      <c r="E36" s="26"/>
      <c r="F36" s="26"/>
      <c r="G36" s="27"/>
    </row>
    <row r="37" spans="1:18" x14ac:dyDescent="0.25">
      <c r="A37" s="77">
        <v>42832.270833333336</v>
      </c>
      <c r="B37" s="75">
        <v>3.375</v>
      </c>
      <c r="C37" s="75">
        <v>1.4849999999999999</v>
      </c>
      <c r="D37" s="26"/>
      <c r="E37" s="26"/>
      <c r="F37" s="26"/>
      <c r="G37" s="27"/>
    </row>
    <row r="38" spans="1:18" x14ac:dyDescent="0.25">
      <c r="A38" s="77">
        <v>42832.770833333336</v>
      </c>
      <c r="B38" s="75">
        <v>3.9749999999999996</v>
      </c>
      <c r="C38" s="75">
        <v>1.7490000000000001</v>
      </c>
      <c r="D38" s="26"/>
      <c r="E38" s="26"/>
      <c r="F38" s="26"/>
      <c r="G38" s="27"/>
    </row>
    <row r="39" spans="1:18" x14ac:dyDescent="0.25">
      <c r="A39" s="77">
        <v>42833.270833333336</v>
      </c>
      <c r="B39" s="75">
        <v>4.0200000000000005</v>
      </c>
      <c r="C39" s="75">
        <v>1.7688000000000001</v>
      </c>
      <c r="D39" s="26"/>
      <c r="E39" s="26"/>
      <c r="F39" s="26"/>
      <c r="G39" s="27"/>
    </row>
    <row r="40" spans="1:18" x14ac:dyDescent="0.25">
      <c r="A40" s="77">
        <v>42833.770833333336</v>
      </c>
      <c r="B40" s="75">
        <v>4.24</v>
      </c>
      <c r="C40" s="75">
        <v>1.8656000000000001</v>
      </c>
      <c r="D40" s="26"/>
      <c r="E40" s="26"/>
      <c r="F40" s="26"/>
      <c r="G40" s="27"/>
    </row>
    <row r="41" spans="1:18" x14ac:dyDescent="0.25">
      <c r="A41" s="77">
        <v>42834.270833333336</v>
      </c>
      <c r="B41" s="75">
        <v>4.2850000000000001</v>
      </c>
      <c r="C41" s="75">
        <v>1.8854</v>
      </c>
      <c r="D41" s="26"/>
      <c r="E41" s="26"/>
      <c r="F41" s="26"/>
      <c r="G41" s="27"/>
    </row>
    <row r="42" spans="1:18" x14ac:dyDescent="0.25">
      <c r="A42" s="77">
        <v>42834.770833333336</v>
      </c>
      <c r="B42" s="75">
        <v>4.67</v>
      </c>
      <c r="C42" s="75">
        <v>2.0547999999999997</v>
      </c>
      <c r="D42" s="26"/>
      <c r="E42" s="26"/>
      <c r="F42" s="26"/>
      <c r="G42" s="27"/>
    </row>
    <row r="43" spans="1:18" x14ac:dyDescent="0.25">
      <c r="A43" s="77">
        <v>42835.270833333336</v>
      </c>
      <c r="B43" s="75">
        <v>4.6333333333333337</v>
      </c>
      <c r="C43" s="75">
        <v>2.0386666666666664</v>
      </c>
      <c r="D43" s="26"/>
      <c r="E43" s="26"/>
      <c r="F43" s="26"/>
      <c r="G43" s="27"/>
    </row>
    <row r="44" spans="1:18" x14ac:dyDescent="0.25">
      <c r="A44" s="12"/>
      <c r="B44" s="13"/>
      <c r="C44" s="13"/>
      <c r="D44" s="13"/>
      <c r="E44" s="13"/>
      <c r="F44" s="13"/>
      <c r="G44" s="14"/>
      <c r="R44" s="1"/>
    </row>
    <row r="45" spans="1:18" x14ac:dyDescent="0.25">
      <c r="A45" s="12"/>
      <c r="B45" s="13"/>
      <c r="C45" s="13"/>
      <c r="D45" s="13"/>
      <c r="E45" s="13"/>
      <c r="F45" s="13"/>
      <c r="G45" s="14"/>
    </row>
    <row r="46" spans="1:18" x14ac:dyDescent="0.25">
      <c r="A46" s="78"/>
      <c r="B46" s="55"/>
      <c r="C46" s="13"/>
      <c r="D46" s="13"/>
      <c r="E46" s="13"/>
      <c r="F46" s="13"/>
      <c r="G46" s="14"/>
    </row>
    <row r="47" spans="1:18" x14ac:dyDescent="0.25">
      <c r="A47" s="78"/>
      <c r="B47" s="55"/>
      <c r="C47" s="13"/>
      <c r="D47" s="13"/>
      <c r="E47" s="13"/>
      <c r="F47" s="13"/>
      <c r="G47" s="14"/>
    </row>
    <row r="48" spans="1:18" x14ac:dyDescent="0.25">
      <c r="A48" s="78"/>
      <c r="B48" s="55"/>
      <c r="C48" s="13"/>
      <c r="D48" s="13"/>
      <c r="E48" s="13"/>
      <c r="F48" s="13"/>
      <c r="G48" s="14"/>
    </row>
    <row r="49" spans="1:7" x14ac:dyDescent="0.25">
      <c r="A49" s="78"/>
      <c r="B49" s="55"/>
      <c r="C49" s="13"/>
      <c r="D49" s="13"/>
      <c r="E49" s="13"/>
      <c r="F49" s="13"/>
      <c r="G49" s="14"/>
    </row>
    <row r="50" spans="1:7" x14ac:dyDescent="0.25">
      <c r="A50" s="78"/>
      <c r="B50" s="55"/>
      <c r="C50" s="13"/>
      <c r="D50" s="13"/>
      <c r="E50" s="13"/>
      <c r="F50" s="13"/>
      <c r="G50" s="14"/>
    </row>
    <row r="51" spans="1:7" x14ac:dyDescent="0.25">
      <c r="A51" s="78"/>
      <c r="B51" s="55"/>
      <c r="C51" s="13"/>
      <c r="D51" s="13"/>
      <c r="E51" s="13"/>
      <c r="F51" s="13"/>
      <c r="G51" s="14"/>
    </row>
    <row r="52" spans="1:7" x14ac:dyDescent="0.25">
      <c r="A52" s="79"/>
      <c r="B52" s="57"/>
      <c r="C52" s="13"/>
      <c r="D52" s="13"/>
      <c r="E52" s="13"/>
      <c r="F52" s="13"/>
      <c r="G52" s="14"/>
    </row>
    <row r="53" spans="1:7" x14ac:dyDescent="0.25">
      <c r="A53" s="78"/>
      <c r="B53" s="55"/>
      <c r="C53" s="13"/>
      <c r="D53" s="13"/>
      <c r="E53" s="13"/>
      <c r="F53" s="13"/>
      <c r="G53" s="14"/>
    </row>
    <row r="54" spans="1:7" x14ac:dyDescent="0.25">
      <c r="A54" s="78"/>
      <c r="B54" s="55"/>
      <c r="C54" s="13"/>
      <c r="D54" s="13"/>
      <c r="E54" s="13"/>
      <c r="F54" s="13"/>
      <c r="G54" s="14"/>
    </row>
    <row r="55" spans="1:7" x14ac:dyDescent="0.25">
      <c r="A55" s="79"/>
      <c r="B55" s="57"/>
      <c r="C55" s="13"/>
      <c r="D55" s="13"/>
      <c r="E55" s="13"/>
      <c r="F55" s="13"/>
      <c r="G55" s="14"/>
    </row>
    <row r="56" spans="1:7" x14ac:dyDescent="0.25">
      <c r="A56" s="79"/>
      <c r="B56" s="56"/>
      <c r="C56" s="13"/>
      <c r="D56" s="13"/>
      <c r="E56" s="13"/>
      <c r="F56" s="13"/>
      <c r="G56" s="14"/>
    </row>
    <row r="57" spans="1:7" x14ac:dyDescent="0.25">
      <c r="A57" s="79"/>
      <c r="B57" s="56"/>
      <c r="C57" s="13"/>
      <c r="D57" s="13"/>
      <c r="E57" s="13"/>
      <c r="F57" s="13"/>
      <c r="G57" s="14"/>
    </row>
    <row r="58" spans="1:7" x14ac:dyDescent="0.25">
      <c r="A58" s="79"/>
      <c r="B58" s="56"/>
      <c r="C58" s="13"/>
      <c r="D58" s="13"/>
      <c r="E58" s="13"/>
      <c r="F58" s="13"/>
      <c r="G58" s="14"/>
    </row>
    <row r="59" spans="1:7" x14ac:dyDescent="0.25">
      <c r="A59" s="79"/>
      <c r="B59" s="56"/>
      <c r="C59" s="13"/>
      <c r="D59" s="13"/>
      <c r="E59" s="13"/>
      <c r="F59" s="13"/>
      <c r="G59" s="14"/>
    </row>
    <row r="60" spans="1:7" x14ac:dyDescent="0.25">
      <c r="A60" s="79"/>
      <c r="B60" s="56"/>
      <c r="C60" s="13"/>
      <c r="D60" s="13"/>
      <c r="E60" s="13"/>
      <c r="F60" s="13"/>
      <c r="G60" s="14"/>
    </row>
    <row r="61" spans="1:7" x14ac:dyDescent="0.25">
      <c r="A61" s="79"/>
      <c r="B61" s="56"/>
      <c r="C61" s="13"/>
      <c r="D61" s="13"/>
      <c r="E61" s="13"/>
      <c r="F61" s="13"/>
      <c r="G61" s="14"/>
    </row>
    <row r="62" spans="1:7" x14ac:dyDescent="0.25">
      <c r="A62" s="78"/>
      <c r="B62" s="55"/>
      <c r="C62" s="13"/>
      <c r="D62" s="13"/>
      <c r="E62" s="13"/>
      <c r="F62" s="13"/>
      <c r="G62" s="14"/>
    </row>
    <row r="63" spans="1:7" x14ac:dyDescent="0.25">
      <c r="A63" s="78"/>
      <c r="B63" s="55"/>
      <c r="C63" s="13"/>
      <c r="D63" s="13"/>
      <c r="E63" s="13"/>
      <c r="F63" s="13"/>
      <c r="G63" s="14"/>
    </row>
    <row r="64" spans="1:7" x14ac:dyDescent="0.25">
      <c r="A64" s="80"/>
      <c r="B64" s="54"/>
      <c r="C64" s="13"/>
      <c r="D64" s="13"/>
      <c r="E64" s="13"/>
      <c r="F64" s="13"/>
      <c r="G64" s="14"/>
    </row>
    <row r="65" spans="1:7" x14ac:dyDescent="0.25">
      <c r="A65" s="12"/>
      <c r="B65" s="13"/>
      <c r="C65" s="13"/>
      <c r="D65" s="13"/>
      <c r="E65" s="13"/>
      <c r="F65" s="13"/>
      <c r="G65" s="14"/>
    </row>
    <row r="66" spans="1:7" x14ac:dyDescent="0.25">
      <c r="A66" s="12"/>
      <c r="B66" s="13"/>
      <c r="C66" s="13"/>
      <c r="D66" s="13"/>
      <c r="E66" s="13"/>
      <c r="F66" s="13"/>
      <c r="G66" s="14"/>
    </row>
    <row r="67" spans="1:7" x14ac:dyDescent="0.25">
      <c r="A67" s="12"/>
      <c r="B67" s="13"/>
      <c r="C67" s="13"/>
      <c r="D67" s="13"/>
      <c r="E67" s="13"/>
      <c r="F67" s="13"/>
      <c r="G67" s="14"/>
    </row>
    <row r="68" spans="1:7" x14ac:dyDescent="0.25">
      <c r="A68" s="12"/>
      <c r="B68" s="13"/>
      <c r="C68" s="13"/>
      <c r="D68" s="13"/>
      <c r="E68" s="13"/>
      <c r="F68" s="13"/>
      <c r="G68" s="14"/>
    </row>
    <row r="69" spans="1:7" x14ac:dyDescent="0.25">
      <c r="A69" s="12"/>
      <c r="B69" s="13"/>
      <c r="C69" s="13"/>
      <c r="D69" s="13"/>
      <c r="E69" s="13"/>
      <c r="F69" s="13"/>
      <c r="G69" s="14"/>
    </row>
    <row r="70" spans="1:7" x14ac:dyDescent="0.25">
      <c r="A70" s="12"/>
      <c r="B70" s="13"/>
      <c r="C70" s="13"/>
      <c r="D70" s="13"/>
      <c r="E70" s="13"/>
      <c r="F70" s="13"/>
      <c r="G70" s="14"/>
    </row>
    <row r="71" spans="1:7" x14ac:dyDescent="0.25">
      <c r="A71" s="12"/>
      <c r="B71" s="13"/>
      <c r="C71" s="13"/>
      <c r="D71" s="13"/>
      <c r="E71" s="13"/>
      <c r="F71" s="13"/>
      <c r="G71" s="14"/>
    </row>
    <row r="72" spans="1:7" x14ac:dyDescent="0.25">
      <c r="A72" s="12"/>
      <c r="B72" s="13"/>
      <c r="C72" s="13"/>
      <c r="D72" s="13"/>
      <c r="E72" s="13"/>
      <c r="F72" s="13"/>
      <c r="G72" s="14"/>
    </row>
    <row r="73" spans="1:7" x14ac:dyDescent="0.25">
      <c r="A73" s="12"/>
      <c r="B73" s="13"/>
      <c r="C73" s="13"/>
      <c r="D73" s="13"/>
      <c r="E73" s="13"/>
      <c r="F73" s="13"/>
      <c r="G73" s="14"/>
    </row>
    <row r="74" spans="1:7" x14ac:dyDescent="0.25">
      <c r="A74" s="12"/>
      <c r="B74" s="13"/>
      <c r="C74" s="13"/>
      <c r="D74" s="13"/>
      <c r="E74" s="13"/>
      <c r="F74" s="13"/>
      <c r="G74" s="14"/>
    </row>
    <row r="75" spans="1:7" x14ac:dyDescent="0.25">
      <c r="A75" s="12"/>
      <c r="B75" s="13"/>
      <c r="C75" s="13"/>
      <c r="D75" s="13"/>
      <c r="E75" s="13"/>
      <c r="F75" s="13"/>
      <c r="G75" s="14"/>
    </row>
    <row r="76" spans="1:7" x14ac:dyDescent="0.25">
      <c r="A76" s="25"/>
      <c r="B76" s="26"/>
      <c r="C76" s="26"/>
      <c r="D76" s="26"/>
      <c r="E76" s="26"/>
      <c r="F76" s="26"/>
      <c r="G76" s="27"/>
    </row>
    <row r="77" spans="1:7" x14ac:dyDescent="0.25">
      <c r="A77" s="25"/>
      <c r="B77" s="26"/>
      <c r="C77" s="26"/>
      <c r="D77" s="26"/>
      <c r="E77" s="26"/>
      <c r="F77" s="26"/>
      <c r="G77" s="27"/>
    </row>
    <row r="78" spans="1:7" x14ac:dyDescent="0.25">
      <c r="A78" s="25"/>
      <c r="B78" s="26"/>
      <c r="C78" s="26"/>
      <c r="D78" s="26"/>
      <c r="E78" s="26"/>
      <c r="F78" s="26"/>
      <c r="G78" s="27"/>
    </row>
    <row r="79" spans="1:7" x14ac:dyDescent="0.25">
      <c r="A79" s="25"/>
      <c r="B79" s="26"/>
      <c r="C79" s="26"/>
      <c r="D79" s="26"/>
      <c r="E79" s="26"/>
      <c r="F79" s="26"/>
      <c r="G79" s="27"/>
    </row>
    <row r="80" spans="1:7" x14ac:dyDescent="0.25">
      <c r="A80" s="25"/>
      <c r="B80" s="26"/>
      <c r="C80" s="26"/>
      <c r="D80" s="26"/>
      <c r="E80" s="26"/>
      <c r="F80" s="26"/>
      <c r="G80" s="27"/>
    </row>
    <row r="81" spans="1:7" x14ac:dyDescent="0.25">
      <c r="A81" s="25"/>
      <c r="B81" s="26"/>
      <c r="C81" s="26"/>
      <c r="D81" s="26"/>
      <c r="E81" s="26"/>
      <c r="F81" s="26"/>
      <c r="G81" s="27"/>
    </row>
    <row r="82" spans="1:7" x14ac:dyDescent="0.25">
      <c r="A82" s="25"/>
      <c r="B82" s="26"/>
      <c r="C82" s="26"/>
      <c r="D82" s="26"/>
      <c r="E82" s="26"/>
      <c r="F82" s="26"/>
      <c r="G82" s="27"/>
    </row>
    <row r="83" spans="1:7" x14ac:dyDescent="0.25">
      <c r="A83" s="25"/>
      <c r="B83" s="26"/>
      <c r="C83" s="26"/>
      <c r="D83" s="26"/>
      <c r="E83" s="26"/>
      <c r="F83" s="26"/>
      <c r="G83" s="27"/>
    </row>
    <row r="84" spans="1:7" ht="15.75" thickBot="1" x14ac:dyDescent="0.3">
      <c r="A84" s="28"/>
      <c r="B84" s="29"/>
      <c r="C84" s="29"/>
      <c r="D84" s="29"/>
      <c r="E84" s="29"/>
      <c r="F84" s="29"/>
      <c r="G84" s="30"/>
    </row>
    <row r="88" spans="1:7" x14ac:dyDescent="0.25">
      <c r="A88" s="100" t="s">
        <v>50</v>
      </c>
      <c r="B88" s="100"/>
      <c r="C88" s="100"/>
      <c r="D88" s="100"/>
      <c r="E88" s="100"/>
      <c r="F88" s="100"/>
      <c r="G88" s="100"/>
    </row>
    <row r="89" spans="1:7" x14ac:dyDescent="0.25">
      <c r="A89" s="99" t="s">
        <v>111</v>
      </c>
      <c r="B89" s="98"/>
      <c r="C89" s="98"/>
      <c r="D89" s="98"/>
      <c r="E89" s="98"/>
      <c r="F89" s="98"/>
      <c r="G89" s="98"/>
    </row>
    <row r="90" spans="1:7" x14ac:dyDescent="0.25">
      <c r="A90" s="98"/>
      <c r="B90" s="98"/>
      <c r="C90" s="98"/>
      <c r="D90" s="98"/>
      <c r="E90" s="98"/>
      <c r="F90" s="98"/>
      <c r="G90" s="98"/>
    </row>
    <row r="91" spans="1:7" x14ac:dyDescent="0.25">
      <c r="A91" s="98"/>
      <c r="B91" s="98"/>
      <c r="C91" s="98"/>
      <c r="D91" s="98"/>
      <c r="E91" s="98"/>
      <c r="F91" s="98"/>
      <c r="G91" s="98"/>
    </row>
    <row r="92" spans="1:7" x14ac:dyDescent="0.25">
      <c r="A92" s="99" t="s">
        <v>108</v>
      </c>
      <c r="B92" s="98"/>
      <c r="C92" s="98"/>
      <c r="D92" s="98"/>
      <c r="E92" s="98"/>
      <c r="F92" s="98"/>
      <c r="G92" s="98"/>
    </row>
    <row r="93" spans="1:7" x14ac:dyDescent="0.25">
      <c r="A93" s="98"/>
      <c r="B93" s="98"/>
      <c r="C93" s="98"/>
      <c r="D93" s="98"/>
      <c r="E93" s="98"/>
      <c r="F93" s="98"/>
      <c r="G93" s="98"/>
    </row>
    <row r="94" spans="1:7" x14ac:dyDescent="0.25">
      <c r="A94" s="98"/>
      <c r="B94" s="98"/>
      <c r="C94" s="98"/>
      <c r="D94" s="98"/>
      <c r="E94" s="98"/>
      <c r="F94" s="98"/>
      <c r="G94" s="98"/>
    </row>
    <row r="95" spans="1:7" x14ac:dyDescent="0.25">
      <c r="A95" s="97" t="s">
        <v>84</v>
      </c>
      <c r="B95" s="98"/>
      <c r="C95" s="98"/>
      <c r="D95" s="98"/>
      <c r="E95" s="98"/>
      <c r="F95" s="98"/>
      <c r="G95" s="98"/>
    </row>
    <row r="96" spans="1:7" x14ac:dyDescent="0.25">
      <c r="A96" s="98"/>
      <c r="B96" s="98"/>
      <c r="C96" s="98"/>
      <c r="D96" s="98"/>
      <c r="E96" s="98"/>
      <c r="F96" s="98"/>
      <c r="G96" s="98"/>
    </row>
    <row r="97" spans="1:7" x14ac:dyDescent="0.25">
      <c r="A97" s="98"/>
      <c r="B97" s="98"/>
      <c r="C97" s="98"/>
      <c r="D97" s="98"/>
      <c r="E97" s="98"/>
      <c r="F97" s="98"/>
      <c r="G97" s="98"/>
    </row>
    <row r="98" spans="1:7" x14ac:dyDescent="0.25">
      <c r="A98" s="97" t="s">
        <v>114</v>
      </c>
      <c r="B98" s="98"/>
      <c r="C98" s="98"/>
      <c r="D98" s="98"/>
      <c r="E98" s="98"/>
      <c r="F98" s="98"/>
      <c r="G98" s="98"/>
    </row>
    <row r="99" spans="1:7" x14ac:dyDescent="0.25">
      <c r="A99" s="98"/>
      <c r="B99" s="98"/>
      <c r="C99" s="98"/>
      <c r="D99" s="98"/>
      <c r="E99" s="98"/>
      <c r="F99" s="98"/>
      <c r="G99" s="98"/>
    </row>
    <row r="100" spans="1:7" x14ac:dyDescent="0.25">
      <c r="A100" s="98"/>
      <c r="B100" s="98"/>
      <c r="C100" s="98"/>
      <c r="D100" s="98"/>
      <c r="E100" s="98"/>
      <c r="F100" s="98"/>
      <c r="G100" s="98"/>
    </row>
    <row r="101" spans="1:7" x14ac:dyDescent="0.25">
      <c r="A101" s="97" t="s">
        <v>119</v>
      </c>
      <c r="B101" s="98"/>
      <c r="C101" s="98"/>
      <c r="D101" s="98"/>
      <c r="E101" s="98"/>
      <c r="F101" s="98"/>
      <c r="G101" s="98"/>
    </row>
    <row r="102" spans="1:7" x14ac:dyDescent="0.25">
      <c r="A102" s="98"/>
      <c r="B102" s="98"/>
      <c r="C102" s="98"/>
      <c r="D102" s="98"/>
      <c r="E102" s="98"/>
      <c r="F102" s="98"/>
      <c r="G102" s="98"/>
    </row>
    <row r="103" spans="1:7" x14ac:dyDescent="0.25">
      <c r="A103" s="98"/>
      <c r="B103" s="98"/>
      <c r="C103" s="98"/>
      <c r="D103" s="98"/>
      <c r="E103" s="98"/>
      <c r="F103" s="98"/>
      <c r="G103" s="98"/>
    </row>
  </sheetData>
  <mergeCells count="11">
    <mergeCell ref="A89:G91"/>
    <mergeCell ref="A92:G94"/>
    <mergeCell ref="A95:G97"/>
    <mergeCell ref="A98:G100"/>
    <mergeCell ref="A101:G103"/>
    <mergeCell ref="A88:G88"/>
    <mergeCell ref="F4:G4"/>
    <mergeCell ref="A6:A8"/>
    <mergeCell ref="A23:G23"/>
    <mergeCell ref="A12:D12"/>
    <mergeCell ref="A17:A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Chlorella vulgaris</vt:lpstr>
      <vt:lpstr>Nannochloropsis oceanica</vt:lpstr>
      <vt:lpstr>Desmodesmus intermedius</vt:lpstr>
      <vt:lpstr>Galdieria sulphuraria 5587.1</vt:lpstr>
      <vt:lpstr>Galdieria sulphuraria Soos</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2020-08-12T21:23:54Z</dcterms:created>
  <dcterms:modified xsi:type="dcterms:W3CDTF">2020-09-22T16:05:42Z</dcterms:modified>
</cp:coreProperties>
</file>